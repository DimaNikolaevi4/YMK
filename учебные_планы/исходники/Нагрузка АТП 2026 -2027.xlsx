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2992" windowHeight="12300" tabRatio="835" activeTab="3"/>
  </bookViews>
  <sheets>
    <sheet name="Бардаков" sheetId="12" r:id="rId1"/>
    <sheet name="Чернявская" sheetId="13" r:id="rId2"/>
    <sheet name="Бедрик Д.А" sheetId="25" r:id="rId3"/>
    <sheet name="Ткаченко" sheetId="16" r:id="rId4"/>
    <sheet name="Озеров" sheetId="15" r:id="rId5"/>
    <sheet name="Жолобова" sheetId="23" r:id="rId6"/>
    <sheet name="Козликина Е.Н." sheetId="24" r:id="rId7"/>
  </sheets>
  <calcPr calcId="144525"/>
</workbook>
</file>

<file path=xl/calcChain.xml><?xml version="1.0" encoding="utf-8"?>
<calcChain xmlns="http://schemas.openxmlformats.org/spreadsheetml/2006/main">
  <c r="AE18" i="16" l="1"/>
  <c r="AC18" i="16"/>
  <c r="W17" i="15" l="1"/>
  <c r="W14" i="15"/>
  <c r="W13" i="15"/>
  <c r="W11" i="15"/>
  <c r="W10" i="15"/>
  <c r="W9" i="15"/>
  <c r="AA17" i="16"/>
  <c r="AA14" i="16"/>
  <c r="AA13" i="16"/>
  <c r="AA11" i="16"/>
  <c r="AA10" i="16"/>
  <c r="AA9" i="16"/>
  <c r="P17" i="13"/>
  <c r="P13" i="13"/>
  <c r="P11" i="13"/>
  <c r="P10" i="13"/>
  <c r="P9" i="13"/>
  <c r="P18" i="13"/>
  <c r="F18" i="13"/>
  <c r="U17" i="12"/>
  <c r="U13" i="12"/>
  <c r="U11" i="12"/>
  <c r="U10" i="12"/>
  <c r="U9" i="12"/>
  <c r="E18" i="13"/>
  <c r="R18" i="13"/>
  <c r="S18" i="13"/>
  <c r="S18" i="16"/>
  <c r="P18" i="16"/>
  <c r="V18" i="15"/>
  <c r="U18" i="15"/>
  <c r="T18" i="15"/>
  <c r="S18" i="15"/>
  <c r="Z18" i="16"/>
  <c r="D17" i="23"/>
  <c r="V7" i="25"/>
  <c r="V9" i="25"/>
  <c r="V13" i="25"/>
  <c r="T14" i="25"/>
  <c r="U14" i="25"/>
  <c r="V14" i="25" s="1"/>
  <c r="S9" i="13"/>
  <c r="S13" i="13"/>
  <c r="Q18" i="13"/>
  <c r="O18" i="13"/>
  <c r="N18" i="13"/>
  <c r="D17" i="24"/>
  <c r="C17" i="24"/>
  <c r="F17" i="24"/>
  <c r="C17" i="23"/>
  <c r="E17" i="23"/>
  <c r="M18" i="13"/>
  <c r="Y18" i="16"/>
  <c r="T18" i="12"/>
  <c r="S18" i="12"/>
  <c r="X18" i="16"/>
  <c r="W18" i="16"/>
  <c r="V18" i="16"/>
  <c r="L18" i="13"/>
  <c r="R18" i="15"/>
  <c r="U18" i="16"/>
  <c r="T18" i="16"/>
  <c r="J18" i="13"/>
  <c r="R18" i="12"/>
  <c r="Q18" i="12"/>
  <c r="R18" i="16"/>
  <c r="Q18" i="16"/>
  <c r="O18" i="16"/>
  <c r="N18" i="16"/>
  <c r="P18" i="12"/>
  <c r="O18" i="12"/>
  <c r="N18" i="12"/>
  <c r="M18" i="12"/>
  <c r="L18" i="12"/>
  <c r="I18" i="13"/>
  <c r="K18" i="12"/>
  <c r="J18" i="12"/>
  <c r="I18" i="12"/>
  <c r="Q18" i="15"/>
  <c r="P18" i="15"/>
  <c r="O18" i="15"/>
  <c r="N18" i="15"/>
  <c r="H18" i="12"/>
  <c r="H18" i="13"/>
  <c r="I18" i="16"/>
  <c r="M18" i="16"/>
  <c r="G18" i="12"/>
  <c r="F18" i="12"/>
  <c r="M18" i="15"/>
  <c r="L18" i="15"/>
  <c r="L18" i="16"/>
  <c r="K18" i="16"/>
  <c r="K18" i="15"/>
  <c r="J18" i="15"/>
  <c r="J18" i="16"/>
  <c r="I18" i="15"/>
  <c r="H18" i="15"/>
  <c r="G18" i="15"/>
  <c r="G18" i="13"/>
  <c r="D18" i="13"/>
  <c r="F18" i="15"/>
  <c r="E18" i="12"/>
  <c r="D18" i="12"/>
  <c r="U18" i="12"/>
  <c r="H18" i="16"/>
  <c r="G18" i="16"/>
  <c r="F18" i="16"/>
  <c r="E18" i="15"/>
  <c r="E18" i="16"/>
  <c r="D18" i="16"/>
  <c r="D18" i="15"/>
  <c r="AA18" i="16"/>
  <c r="W18" i="15"/>
  <c r="U18" i="13"/>
</calcChain>
</file>

<file path=xl/sharedStrings.xml><?xml version="1.0" encoding="utf-8"?>
<sst xmlns="http://schemas.openxmlformats.org/spreadsheetml/2006/main" count="321" uniqueCount="111">
  <si>
    <t xml:space="preserve">№ </t>
  </si>
  <si>
    <t xml:space="preserve">Группа и отделение </t>
  </si>
  <si>
    <t xml:space="preserve">ИТОГО </t>
  </si>
  <si>
    <t xml:space="preserve">Семестр </t>
  </si>
  <si>
    <t>Кол-во недель</t>
  </si>
  <si>
    <t xml:space="preserve">Предмет обучения </t>
  </si>
  <si>
    <t xml:space="preserve">Теоретические часы </t>
  </si>
  <si>
    <t>Разделение на лаборат и практич.</t>
  </si>
  <si>
    <t>Консультации</t>
  </si>
  <si>
    <t xml:space="preserve">Руководство ВКР </t>
  </si>
  <si>
    <t>Практика</t>
  </si>
  <si>
    <t>Рецензии на курсовые работы</t>
  </si>
  <si>
    <t xml:space="preserve">Участие в работе ГАК </t>
  </si>
  <si>
    <t>Консультации к ГАК</t>
  </si>
  <si>
    <t xml:space="preserve">Экзамен </t>
  </si>
  <si>
    <t xml:space="preserve">Итого </t>
  </si>
  <si>
    <t>Примечание:</t>
  </si>
  <si>
    <t>1. Во время болезни и других видов  пропусков администрация техникума может заменить другими преподавателями по данному предмету.</t>
  </si>
  <si>
    <t>2. Администрация оставляет право за собой замены педагогической работы в пределах установленной нагрузки.</t>
  </si>
  <si>
    <t>3. Часы прочитанные сверх установленной нагрузки без приказа не оплачиваются.</t>
  </si>
  <si>
    <t>Зам. директора по УР                    Т. В. Якимова                                  Подпись преподавателя     _______________</t>
  </si>
  <si>
    <t>Зам. директора по УР                         Т. В. Якимова                   Подпись преподавателя     _______________</t>
  </si>
  <si>
    <t>Преподаватель  Бардаков Д.Н.</t>
  </si>
  <si>
    <t>УП01</t>
  </si>
  <si>
    <t>Преподаватель Чернявская Н.Н.</t>
  </si>
  <si>
    <t>Зам. директора по УР                                         Т. В. Якимова                         Подпись преподавателя     _______________</t>
  </si>
  <si>
    <t>УП02</t>
  </si>
  <si>
    <t>МДК 02.01</t>
  </si>
  <si>
    <t>Преподаватель Ткаченко А.Н.</t>
  </si>
  <si>
    <t>МДК 03.01</t>
  </si>
  <si>
    <t>Преподаватель Озеров И.Н.</t>
  </si>
  <si>
    <t>ПП02</t>
  </si>
  <si>
    <t>ПП03</t>
  </si>
  <si>
    <t>МДК 01.02</t>
  </si>
  <si>
    <t>КИП-31</t>
  </si>
  <si>
    <t>ПП01</t>
  </si>
  <si>
    <t>УП03</t>
  </si>
  <si>
    <t>МДК 03.02</t>
  </si>
  <si>
    <t>ОТП-31</t>
  </si>
  <si>
    <t>МДК03.01</t>
  </si>
  <si>
    <t>МДК 01.01</t>
  </si>
  <si>
    <t>ПП04</t>
  </si>
  <si>
    <t>ПП05</t>
  </si>
  <si>
    <t>ОТП-41</t>
  </si>
  <si>
    <t>МДК 04.01</t>
  </si>
  <si>
    <t>САПР</t>
  </si>
  <si>
    <t>МДК 02.03</t>
  </si>
  <si>
    <t>С-11</t>
  </si>
  <si>
    <t>МДК01.01</t>
  </si>
  <si>
    <t>МДК01.02</t>
  </si>
  <si>
    <t>МДК 02.02</t>
  </si>
  <si>
    <t>МДК 03.03</t>
  </si>
  <si>
    <t>МДК02.02</t>
  </si>
  <si>
    <t xml:space="preserve">Учебная часть сообщает, что Вам запланирована педагогическая нагрузка на 2026-2027уч. год </t>
  </si>
  <si>
    <t xml:space="preserve">Учебная часть сообщает, что Вам запланирована педагогическая нагрузка на 2026-2027 уч. год </t>
  </si>
  <si>
    <t>МДК 04.02</t>
  </si>
  <si>
    <t>МДК 04.03</t>
  </si>
  <si>
    <t>УП04</t>
  </si>
  <si>
    <t>Жолобова Е.А.</t>
  </si>
  <si>
    <t>ЭЛЕКТРИЧЕСКИЕ МАШИНЫ</t>
  </si>
  <si>
    <t>АВ.ПРИВОД</t>
  </si>
  <si>
    <t>УП.01</t>
  </si>
  <si>
    <t>С-21</t>
  </si>
  <si>
    <t>С-22</t>
  </si>
  <si>
    <t>МДК
03.02</t>
  </si>
  <si>
    <t>М-21</t>
  </si>
  <si>
    <t>ЭЛ.ИЗМЕРЕНИЯ</t>
  </si>
  <si>
    <t>МДК 05.02</t>
  </si>
  <si>
    <t>КСК-22</t>
  </si>
  <si>
    <t>Метрология и электротехнические измерения</t>
  </si>
  <si>
    <t>Итого</t>
  </si>
  <si>
    <t>М21</t>
  </si>
  <si>
    <t>МДК 05.01</t>
  </si>
  <si>
    <t>Козликина Е.Н.</t>
  </si>
  <si>
    <t>МДК 06</t>
  </si>
  <si>
    <t>УП06</t>
  </si>
  <si>
    <t>КСК-21</t>
  </si>
  <si>
    <t>КСК21</t>
  </si>
  <si>
    <t>КСК22</t>
  </si>
  <si>
    <t>КСК-23</t>
  </si>
  <si>
    <t>КСК23</t>
  </si>
  <si>
    <t>Преподавателъ Бедрик Д.А</t>
  </si>
  <si>
    <t>Итого бюджет</t>
  </si>
  <si>
    <t xml:space="preserve">Группа </t>
  </si>
  <si>
    <t>СВ11</t>
  </si>
  <si>
    <t>Св12</t>
  </si>
  <si>
    <t>СВ12</t>
  </si>
  <si>
    <t>СВ-21</t>
  </si>
  <si>
    <t>С11</t>
  </si>
  <si>
    <t>Материаловедение</t>
  </si>
  <si>
    <t>Допуски и технические измерения</t>
  </si>
  <si>
    <t xml:space="preserve">МДК 01.01 </t>
  </si>
  <si>
    <t xml:space="preserve">Мдк 0101 </t>
  </si>
  <si>
    <t>ПМ 01 МДК 01. 01  Технология производства сварных конструкций</t>
  </si>
  <si>
    <t>МДК 01.02 Подготовительные и сборочные операции</t>
  </si>
  <si>
    <t>МДК 02.01 Техника и технология ручной дуговой сварки</t>
  </si>
  <si>
    <t>Допуски и посадки</t>
  </si>
  <si>
    <t>Тенология выполнения слесарных и сборочных работ</t>
  </si>
  <si>
    <t>ПП 01</t>
  </si>
  <si>
    <t>Тех мех</t>
  </si>
  <si>
    <t>Зам. директора по УР                     Т. В. Якимова  _______        Подпись преподавателя     _______________</t>
  </si>
  <si>
    <t xml:space="preserve">Охрана труда </t>
  </si>
  <si>
    <t>ОТП31</t>
  </si>
  <si>
    <t>КИП 31</t>
  </si>
  <si>
    <t>ППо1</t>
  </si>
  <si>
    <t>МДК
01.03</t>
  </si>
  <si>
    <t>УП04 (ДЭ)</t>
  </si>
  <si>
    <t>УП04 
(ДЭ)</t>
  </si>
  <si>
    <t>УП03(ДЭ)</t>
  </si>
  <si>
    <t>УП03 (ДЭ)</t>
  </si>
  <si>
    <t>МДК
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</si>
</sst>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 Cyr"/>
      <charset val="204"/>
    </font>
    <font>
      <sz val="11"/>
      <name val="Calibri"/>
      <family val="2"/>
      <charset val="204"/>
    </font>
    <font>
      <sz val="11"/>
      <name val="Times New Roman"/>
      <family val="1"/>
      <charset val="204"/>
    </font>
    <font>
      <sz val="8"/>
      <name val="Calibri"/>
      <family val="2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B0F0"/>
      <name val="Times New Roman"/>
      <family val="1"/>
      <charset val="204"/>
    </font>
    <font>
      <sz val="11"/>
      <color rgb="FF00B0F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14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0" fillId="0" borderId="0" xfId="0" applyFont="1"/>
    <xf numFmtId="0" fontId="5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9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2" fillId="5" borderId="1" xfId="0" applyFont="1" applyFill="1" applyBorder="1"/>
    <xf numFmtId="0" fontId="19" fillId="0" borderId="0" xfId="0" applyFont="1" applyAlignment="1">
      <alignment vertical="center"/>
    </xf>
    <xf numFmtId="0" fontId="18" fillId="5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0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5" borderId="2" xfId="0" applyFont="1" applyFill="1" applyBorder="1"/>
    <xf numFmtId="0" fontId="21" fillId="0" borderId="1" xfId="0" applyFont="1" applyBorder="1"/>
    <xf numFmtId="0" fontId="21" fillId="0" borderId="2" xfId="0" applyFont="1" applyBorder="1" applyAlignment="1"/>
    <xf numFmtId="0" fontId="21" fillId="0" borderId="3" xfId="0" applyFont="1" applyBorder="1" applyAlignment="1"/>
    <xf numFmtId="0" fontId="21" fillId="0" borderId="4" xfId="0" applyFont="1" applyBorder="1" applyAlignment="1"/>
    <xf numFmtId="0" fontId="21" fillId="0" borderId="1" xfId="0" applyFont="1" applyBorder="1" applyAlignment="1">
      <alignment wrapText="1"/>
    </xf>
    <xf numFmtId="0" fontId="21" fillId="5" borderId="1" xfId="0" applyFont="1" applyFill="1" applyBorder="1"/>
    <xf numFmtId="0" fontId="22" fillId="0" borderId="1" xfId="0" applyFont="1" applyBorder="1"/>
    <xf numFmtId="0" fontId="22" fillId="5" borderId="1" xfId="0" applyFont="1" applyFill="1" applyBorder="1"/>
    <xf numFmtId="0" fontId="10" fillId="0" borderId="0" xfId="0" applyFont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5" borderId="1" xfId="0" applyFont="1" applyFill="1" applyBorder="1"/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21" fillId="0" borderId="4" xfId="0" applyFont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"/>
  <sheetViews>
    <sheetView zoomScale="80" zoomScaleNormal="80" workbookViewId="0">
      <selection activeCell="W16" sqref="W16"/>
    </sheetView>
  </sheetViews>
  <sheetFormatPr defaultRowHeight="14.4" x14ac:dyDescent="0.3"/>
  <cols>
    <col min="1" max="1" width="2" customWidth="1"/>
    <col min="2" max="2" width="4" customWidth="1"/>
    <col min="3" max="3" width="19.44140625" customWidth="1"/>
    <col min="4" max="4" width="10.33203125" customWidth="1"/>
    <col min="5" max="5" width="8.6640625" customWidth="1"/>
    <col min="6" max="6" width="7.6640625" style="32" customWidth="1"/>
    <col min="7" max="7" width="6.6640625" style="32" customWidth="1"/>
    <col min="8" max="8" width="8.5546875" style="32" customWidth="1"/>
    <col min="9" max="9" width="8.6640625" style="40" customWidth="1"/>
    <col min="10" max="10" width="10.6640625" style="32" customWidth="1"/>
    <col min="11" max="11" width="8.5546875" style="35" customWidth="1"/>
    <col min="12" max="12" width="8.44140625" style="30" customWidth="1"/>
    <col min="13" max="13" width="9" style="30" customWidth="1"/>
    <col min="14" max="14" width="8.5546875" style="30" customWidth="1"/>
    <col min="15" max="15" width="6" style="30" bestFit="1" customWidth="1"/>
    <col min="16" max="16" width="6.44140625" style="30" customWidth="1"/>
    <col min="17" max="17" width="9.33203125" style="30" customWidth="1"/>
    <col min="18" max="20" width="6.44140625" style="30" customWidth="1"/>
    <col min="21" max="21" width="6.109375" style="30" customWidth="1"/>
    <col min="22" max="22" width="10.6640625" style="30" customWidth="1"/>
    <col min="23" max="23" width="8" style="30" customWidth="1"/>
    <col min="24" max="24" width="8.88671875" style="30" customWidth="1"/>
    <col min="25" max="26" width="5.109375" style="28" customWidth="1"/>
    <col min="27" max="27" width="9.109375" style="28" customWidth="1"/>
    <col min="28" max="28" width="10.33203125" style="30" customWidth="1"/>
    <col min="29" max="29" width="12.33203125" style="30" customWidth="1"/>
    <col min="30" max="30" width="10.44140625" customWidth="1"/>
  </cols>
  <sheetData>
    <row r="1" spans="1:30" ht="9" customHeight="1" x14ac:dyDescent="0.3">
      <c r="A1" s="1"/>
      <c r="B1" s="2"/>
      <c r="C1" s="2"/>
      <c r="D1" s="2"/>
      <c r="E1" s="2"/>
      <c r="F1" s="2"/>
      <c r="G1" s="2"/>
      <c r="H1" s="2"/>
      <c r="I1" s="36"/>
      <c r="J1" s="2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30" ht="24.75" customHeight="1" x14ac:dyDescent="0.3">
      <c r="A2" s="1"/>
      <c r="B2" s="105" t="s">
        <v>22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</row>
    <row r="3" spans="1:30" ht="24.75" customHeight="1" x14ac:dyDescent="0.3">
      <c r="A3" s="1"/>
      <c r="B3" s="106" t="s">
        <v>54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</row>
    <row r="4" spans="1:30" ht="9" customHeight="1" x14ac:dyDescent="0.3">
      <c r="A4" s="1"/>
      <c r="B4" s="3"/>
      <c r="C4" s="3"/>
      <c r="D4" s="3"/>
      <c r="E4" s="3"/>
      <c r="F4" s="3"/>
      <c r="G4" s="3"/>
      <c r="H4" s="3"/>
      <c r="I4" s="37"/>
      <c r="J4" s="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4"/>
    </row>
    <row r="5" spans="1:30" ht="31.2" x14ac:dyDescent="0.3">
      <c r="A5" s="1"/>
      <c r="B5" s="107" t="s">
        <v>0</v>
      </c>
      <c r="C5" s="5" t="s">
        <v>1</v>
      </c>
      <c r="D5" s="92" t="s">
        <v>43</v>
      </c>
      <c r="E5" s="92" t="s">
        <v>43</v>
      </c>
      <c r="F5" s="101" t="s">
        <v>65</v>
      </c>
      <c r="G5" s="102"/>
      <c r="H5" s="92" t="s">
        <v>34</v>
      </c>
      <c r="I5" s="92" t="s">
        <v>34</v>
      </c>
      <c r="J5" s="92" t="s">
        <v>34</v>
      </c>
      <c r="K5" s="92" t="s">
        <v>34</v>
      </c>
      <c r="L5" s="92" t="s">
        <v>34</v>
      </c>
      <c r="M5" s="92" t="s">
        <v>62</v>
      </c>
      <c r="N5" s="92" t="s">
        <v>62</v>
      </c>
      <c r="O5" s="92" t="s">
        <v>63</v>
      </c>
      <c r="P5" s="92" t="s">
        <v>63</v>
      </c>
      <c r="Q5" s="92" t="s">
        <v>62</v>
      </c>
      <c r="R5" s="92" t="s">
        <v>63</v>
      </c>
      <c r="S5" s="101" t="s">
        <v>65</v>
      </c>
      <c r="T5" s="102"/>
      <c r="U5" s="11"/>
      <c r="V5" s="1"/>
      <c r="W5" s="34"/>
      <c r="X5" s="34"/>
      <c r="Y5" s="34"/>
      <c r="Z5" s="34"/>
      <c r="AA5" s="34"/>
      <c r="AB5" s="34"/>
      <c r="AC5" s="34"/>
      <c r="AD5" s="34"/>
    </row>
    <row r="6" spans="1:30" ht="15.6" x14ac:dyDescent="0.3">
      <c r="A6" s="1"/>
      <c r="B6" s="107"/>
      <c r="C6" s="5" t="s">
        <v>3</v>
      </c>
      <c r="D6" s="92">
        <v>8</v>
      </c>
      <c r="E6" s="92">
        <v>8</v>
      </c>
      <c r="F6" s="92">
        <v>3</v>
      </c>
      <c r="G6" s="92">
        <v>4</v>
      </c>
      <c r="H6" s="92">
        <v>5</v>
      </c>
      <c r="I6" s="92">
        <v>5</v>
      </c>
      <c r="J6" s="92">
        <v>6</v>
      </c>
      <c r="K6" s="92">
        <v>6</v>
      </c>
      <c r="L6" s="92">
        <v>6</v>
      </c>
      <c r="M6" s="92">
        <v>3</v>
      </c>
      <c r="N6" s="92">
        <v>3</v>
      </c>
      <c r="O6" s="92">
        <v>3</v>
      </c>
      <c r="P6" s="92">
        <v>3</v>
      </c>
      <c r="Q6" s="92">
        <v>4</v>
      </c>
      <c r="R6" s="92">
        <v>4</v>
      </c>
      <c r="S6" s="92">
        <v>3</v>
      </c>
      <c r="T6" s="92">
        <v>4</v>
      </c>
      <c r="U6" s="11"/>
      <c r="V6" s="1"/>
      <c r="W6" s="34"/>
      <c r="X6" s="34"/>
      <c r="Y6" s="34"/>
      <c r="Z6" s="34"/>
      <c r="AA6" s="34"/>
      <c r="AB6" s="34"/>
      <c r="AC6" s="34"/>
      <c r="AD6" s="34"/>
    </row>
    <row r="7" spans="1:30" ht="15.6" x14ac:dyDescent="0.3">
      <c r="A7" s="1"/>
      <c r="B7" s="107"/>
      <c r="C7" s="5" t="s">
        <v>4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11"/>
      <c r="V7" s="1"/>
      <c r="W7" s="34"/>
      <c r="X7" s="34"/>
      <c r="Y7" s="34"/>
      <c r="Z7" s="34"/>
      <c r="AA7" s="34"/>
      <c r="AB7" s="34"/>
      <c r="AC7" s="34"/>
      <c r="AD7" s="34"/>
    </row>
    <row r="8" spans="1:30" ht="63" customHeight="1" x14ac:dyDescent="0.3">
      <c r="A8" s="1"/>
      <c r="B8" s="107"/>
      <c r="C8" s="5" t="s">
        <v>5</v>
      </c>
      <c r="D8" s="92" t="s">
        <v>55</v>
      </c>
      <c r="E8" s="92" t="s">
        <v>56</v>
      </c>
      <c r="F8" s="101" t="s">
        <v>67</v>
      </c>
      <c r="G8" s="102"/>
      <c r="H8" s="92" t="s">
        <v>27</v>
      </c>
      <c r="I8" s="92" t="s">
        <v>26</v>
      </c>
      <c r="J8" s="92" t="s">
        <v>29</v>
      </c>
      <c r="K8" s="92" t="s">
        <v>37</v>
      </c>
      <c r="L8" s="92" t="s">
        <v>36</v>
      </c>
      <c r="M8" s="92" t="s">
        <v>27</v>
      </c>
      <c r="N8" s="92" t="s">
        <v>110</v>
      </c>
      <c r="O8" s="92" t="s">
        <v>27</v>
      </c>
      <c r="P8" s="92" t="s">
        <v>52</v>
      </c>
      <c r="Q8" s="93" t="s">
        <v>64</v>
      </c>
      <c r="R8" s="93" t="s">
        <v>64</v>
      </c>
      <c r="S8" s="101" t="s">
        <v>33</v>
      </c>
      <c r="T8" s="102"/>
      <c r="U8" s="11"/>
      <c r="V8" s="1"/>
      <c r="W8" s="34"/>
      <c r="X8" s="34"/>
      <c r="Y8" s="34"/>
      <c r="Z8" s="34"/>
      <c r="AA8" s="34"/>
      <c r="AB8" s="34"/>
      <c r="AC8" s="34"/>
      <c r="AD8" s="34"/>
    </row>
    <row r="9" spans="1:30" ht="31.2" x14ac:dyDescent="0.3">
      <c r="A9" s="1"/>
      <c r="B9" s="8">
        <v>1</v>
      </c>
      <c r="C9" s="9" t="s">
        <v>6</v>
      </c>
      <c r="D9" s="92">
        <v>76</v>
      </c>
      <c r="E9" s="92">
        <v>74</v>
      </c>
      <c r="F9" s="92">
        <v>36</v>
      </c>
      <c r="G9" s="92">
        <v>76</v>
      </c>
      <c r="H9" s="92">
        <v>140</v>
      </c>
      <c r="I9" s="92"/>
      <c r="J9" s="92">
        <v>106</v>
      </c>
      <c r="K9" s="92">
        <v>120</v>
      </c>
      <c r="L9" s="92"/>
      <c r="M9" s="92">
        <v>48</v>
      </c>
      <c r="N9" s="92">
        <v>48</v>
      </c>
      <c r="O9" s="92">
        <v>48</v>
      </c>
      <c r="P9" s="92">
        <v>48</v>
      </c>
      <c r="Q9" s="92">
        <v>56</v>
      </c>
      <c r="R9" s="92">
        <v>56</v>
      </c>
      <c r="S9" s="92">
        <v>38</v>
      </c>
      <c r="T9" s="92">
        <v>66</v>
      </c>
      <c r="U9" s="42">
        <f>SUM(D9:T9)</f>
        <v>1036</v>
      </c>
      <c r="V9" s="1"/>
      <c r="W9" s="34"/>
      <c r="X9" s="34"/>
      <c r="Y9" s="34"/>
      <c r="Z9" s="34"/>
      <c r="AA9" s="34"/>
      <c r="AB9" s="34"/>
      <c r="AC9" s="34"/>
      <c r="AD9" s="34"/>
    </row>
    <row r="10" spans="1:30" ht="31.2" x14ac:dyDescent="0.3">
      <c r="A10" s="1"/>
      <c r="B10" s="8">
        <v>2</v>
      </c>
      <c r="C10" s="9" t="s">
        <v>7</v>
      </c>
      <c r="D10" s="92"/>
      <c r="E10" s="92"/>
      <c r="F10" s="92"/>
      <c r="G10" s="92">
        <v>60</v>
      </c>
      <c r="H10" s="94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>
        <v>48</v>
      </c>
      <c r="U10" s="24">
        <f>SUM(D10:T10)</f>
        <v>108</v>
      </c>
      <c r="V10" s="1"/>
      <c r="W10" s="34"/>
      <c r="X10" s="34"/>
      <c r="Y10" s="34"/>
      <c r="Z10" s="34"/>
      <c r="AA10" s="34"/>
      <c r="AB10" s="34"/>
      <c r="AC10" s="34"/>
      <c r="AD10" s="34"/>
    </row>
    <row r="11" spans="1:30" ht="15.6" x14ac:dyDescent="0.3">
      <c r="A11" s="1"/>
      <c r="B11" s="8">
        <v>3</v>
      </c>
      <c r="C11" s="9" t="s">
        <v>8</v>
      </c>
      <c r="D11" s="92">
        <v>5</v>
      </c>
      <c r="E11" s="92"/>
      <c r="F11" s="92"/>
      <c r="G11" s="92">
        <v>2</v>
      </c>
      <c r="H11" s="94">
        <v>5</v>
      </c>
      <c r="I11" s="92"/>
      <c r="J11" s="92">
        <v>5</v>
      </c>
      <c r="K11" s="92"/>
      <c r="L11" s="92"/>
      <c r="M11" s="92">
        <v>2</v>
      </c>
      <c r="N11" s="92">
        <v>2</v>
      </c>
      <c r="O11" s="92">
        <v>2</v>
      </c>
      <c r="P11" s="92">
        <v>2</v>
      </c>
      <c r="Q11" s="92"/>
      <c r="R11" s="92"/>
      <c r="S11" s="92"/>
      <c r="T11" s="92">
        <v>2</v>
      </c>
      <c r="U11" s="24">
        <f>SUM(D11:T11)</f>
        <v>27</v>
      </c>
      <c r="V11" s="1"/>
      <c r="W11" s="34"/>
      <c r="X11" s="34"/>
      <c r="Y11" s="34"/>
      <c r="Z11" s="34"/>
      <c r="AA11" s="34"/>
      <c r="AB11" s="34"/>
      <c r="AC11" s="34"/>
      <c r="AD11" s="34"/>
    </row>
    <row r="12" spans="1:30" ht="15.6" x14ac:dyDescent="0.3">
      <c r="A12" s="1"/>
      <c r="B12" s="8">
        <v>4</v>
      </c>
      <c r="C12" s="9" t="s">
        <v>9</v>
      </c>
      <c r="D12" s="92"/>
      <c r="E12" s="92"/>
      <c r="F12" s="92"/>
      <c r="G12" s="92"/>
      <c r="H12" s="94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24"/>
      <c r="V12" s="1"/>
      <c r="W12" s="34"/>
      <c r="X12" s="34"/>
      <c r="Y12" s="34"/>
      <c r="Z12" s="34"/>
      <c r="AA12" s="34"/>
      <c r="AB12" s="34"/>
      <c r="AC12" s="34"/>
      <c r="AD12" s="34"/>
    </row>
    <row r="13" spans="1:30" ht="15.6" x14ac:dyDescent="0.3">
      <c r="A13" s="1"/>
      <c r="B13" s="8">
        <v>5</v>
      </c>
      <c r="C13" s="9" t="s">
        <v>10</v>
      </c>
      <c r="D13" s="92"/>
      <c r="E13" s="92"/>
      <c r="F13" s="92"/>
      <c r="G13" s="92"/>
      <c r="H13" s="94"/>
      <c r="I13" s="92">
        <v>36</v>
      </c>
      <c r="J13" s="92"/>
      <c r="K13" s="92"/>
      <c r="L13" s="92">
        <v>108</v>
      </c>
      <c r="M13" s="92"/>
      <c r="N13" s="92"/>
      <c r="O13" s="92"/>
      <c r="P13" s="92"/>
      <c r="Q13" s="92"/>
      <c r="R13" s="92"/>
      <c r="S13" s="92"/>
      <c r="T13" s="92"/>
      <c r="U13" s="24">
        <f>SUM(D13:T13)</f>
        <v>144</v>
      </c>
      <c r="V13" s="1"/>
      <c r="W13" s="34"/>
      <c r="X13" s="34"/>
      <c r="Y13" s="34"/>
      <c r="Z13" s="34"/>
      <c r="AA13" s="34"/>
      <c r="AB13" s="34"/>
      <c r="AC13" s="34"/>
      <c r="AD13" s="34"/>
    </row>
    <row r="14" spans="1:30" ht="31.2" x14ac:dyDescent="0.3">
      <c r="A14" s="1"/>
      <c r="B14" s="8">
        <v>6</v>
      </c>
      <c r="C14" s="9" t="s">
        <v>11</v>
      </c>
      <c r="D14" s="92"/>
      <c r="E14" s="92"/>
      <c r="F14" s="92"/>
      <c r="G14" s="92"/>
      <c r="H14" s="94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24"/>
      <c r="V14" s="1"/>
      <c r="W14" s="34"/>
      <c r="X14" s="34"/>
      <c r="Y14" s="34"/>
      <c r="Z14" s="34"/>
      <c r="AA14" s="34"/>
      <c r="AB14" s="34"/>
      <c r="AC14" s="34"/>
      <c r="AD14" s="34"/>
    </row>
    <row r="15" spans="1:30" ht="31.2" x14ac:dyDescent="0.3">
      <c r="A15" s="1"/>
      <c r="B15" s="8">
        <v>7</v>
      </c>
      <c r="C15" s="9" t="s">
        <v>12</v>
      </c>
      <c r="D15" s="92"/>
      <c r="E15" s="92"/>
      <c r="F15" s="92"/>
      <c r="G15" s="92"/>
      <c r="H15" s="94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24"/>
      <c r="V15" s="1"/>
      <c r="W15" s="34"/>
      <c r="X15" s="34"/>
      <c r="Y15" s="34"/>
      <c r="Z15" s="34"/>
      <c r="AA15" s="34"/>
      <c r="AB15" s="34"/>
      <c r="AC15" s="34"/>
      <c r="AD15" s="34"/>
    </row>
    <row r="16" spans="1:30" ht="31.2" x14ac:dyDescent="0.3">
      <c r="A16" s="1"/>
      <c r="B16" s="8">
        <v>8</v>
      </c>
      <c r="C16" s="9" t="s">
        <v>13</v>
      </c>
      <c r="D16" s="92"/>
      <c r="E16" s="92"/>
      <c r="F16" s="92"/>
      <c r="G16" s="92"/>
      <c r="H16" s="94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24"/>
      <c r="V16" s="1"/>
      <c r="W16" s="34"/>
      <c r="X16" s="34"/>
      <c r="Y16" s="34"/>
      <c r="Z16" s="34"/>
      <c r="AA16" s="34"/>
      <c r="AB16" s="34"/>
      <c r="AC16" s="34"/>
      <c r="AD16" s="34"/>
    </row>
    <row r="17" spans="1:33" ht="15.6" x14ac:dyDescent="0.3">
      <c r="A17" s="1"/>
      <c r="B17" s="8">
        <v>9</v>
      </c>
      <c r="C17" s="9" t="s">
        <v>14</v>
      </c>
      <c r="D17" s="92">
        <v>8</v>
      </c>
      <c r="E17" s="92"/>
      <c r="F17" s="92"/>
      <c r="G17" s="92">
        <v>8</v>
      </c>
      <c r="H17" s="94">
        <v>8</v>
      </c>
      <c r="I17" s="92"/>
      <c r="J17" s="92">
        <v>8</v>
      </c>
      <c r="K17" s="92"/>
      <c r="L17" s="92"/>
      <c r="M17" s="92"/>
      <c r="N17" s="92">
        <v>8</v>
      </c>
      <c r="O17" s="92"/>
      <c r="P17" s="92">
        <v>8</v>
      </c>
      <c r="Q17" s="92"/>
      <c r="R17" s="92">
        <v>8</v>
      </c>
      <c r="S17" s="92"/>
      <c r="T17" s="92">
        <v>8</v>
      </c>
      <c r="U17" s="24">
        <f>SUM(D17:T17)</f>
        <v>64</v>
      </c>
      <c r="V17" s="1"/>
      <c r="W17" s="34"/>
      <c r="X17" s="34"/>
      <c r="Y17" s="34"/>
      <c r="Z17" s="34"/>
      <c r="AA17" s="34"/>
      <c r="AB17" s="34"/>
      <c r="AC17" s="34"/>
      <c r="AD17" s="34"/>
    </row>
    <row r="18" spans="1:33" ht="38.25" customHeight="1" x14ac:dyDescent="0.3">
      <c r="A18" s="10"/>
      <c r="B18" s="108" t="s">
        <v>15</v>
      </c>
      <c r="C18" s="108"/>
      <c r="D18" s="95">
        <f t="shared" ref="D18:N18" si="0">SUM(D9:D17)</f>
        <v>89</v>
      </c>
      <c r="E18" s="95">
        <f t="shared" si="0"/>
        <v>74</v>
      </c>
      <c r="F18" s="95">
        <f t="shared" si="0"/>
        <v>36</v>
      </c>
      <c r="G18" s="95">
        <f t="shared" si="0"/>
        <v>146</v>
      </c>
      <c r="H18" s="96">
        <f t="shared" si="0"/>
        <v>153</v>
      </c>
      <c r="I18" s="95">
        <f t="shared" si="0"/>
        <v>36</v>
      </c>
      <c r="J18" s="95">
        <f t="shared" si="0"/>
        <v>119</v>
      </c>
      <c r="K18" s="95">
        <f t="shared" si="0"/>
        <v>120</v>
      </c>
      <c r="L18" s="95">
        <f t="shared" si="0"/>
        <v>108</v>
      </c>
      <c r="M18" s="95">
        <f t="shared" si="0"/>
        <v>50</v>
      </c>
      <c r="N18" s="95">
        <f t="shared" si="0"/>
        <v>58</v>
      </c>
      <c r="O18" s="95">
        <f t="shared" ref="O18:T18" si="1">SUM(O9:O17)</f>
        <v>50</v>
      </c>
      <c r="P18" s="95">
        <f t="shared" si="1"/>
        <v>58</v>
      </c>
      <c r="Q18" s="95">
        <f t="shared" si="1"/>
        <v>56</v>
      </c>
      <c r="R18" s="95">
        <f t="shared" si="1"/>
        <v>64</v>
      </c>
      <c r="S18" s="95">
        <f t="shared" si="1"/>
        <v>38</v>
      </c>
      <c r="T18" s="95">
        <f t="shared" si="1"/>
        <v>124</v>
      </c>
      <c r="U18" s="25">
        <f>SUM(D18:T18)</f>
        <v>1379</v>
      </c>
      <c r="V18" s="1"/>
      <c r="W18" s="34"/>
      <c r="X18" s="34"/>
      <c r="Y18" s="34"/>
      <c r="Z18" s="34"/>
      <c r="AA18" s="34"/>
      <c r="AB18" s="34"/>
      <c r="AC18" s="34"/>
      <c r="AD18" s="34"/>
    </row>
    <row r="19" spans="1:33" ht="15.6" x14ac:dyDescent="0.3">
      <c r="A19" s="1"/>
      <c r="B19" s="12"/>
      <c r="C19" s="13" t="s">
        <v>16</v>
      </c>
      <c r="D19" s="13"/>
      <c r="E19" s="13"/>
      <c r="F19" s="13"/>
      <c r="G19" s="13"/>
      <c r="H19" s="13"/>
      <c r="I19" s="13"/>
      <c r="J19" s="1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21"/>
    </row>
    <row r="20" spans="1:33" ht="15.75" customHeight="1" x14ac:dyDescent="0.3">
      <c r="A20" s="1"/>
      <c r="B20" s="103" t="s">
        <v>17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</row>
    <row r="21" spans="1:33" ht="15.75" customHeight="1" x14ac:dyDescent="0.3">
      <c r="A21" s="1"/>
      <c r="B21" s="103" t="s">
        <v>18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</row>
    <row r="22" spans="1:33" ht="15.75" customHeight="1" x14ac:dyDescent="0.3">
      <c r="A22" s="1"/>
      <c r="B22" s="103" t="s">
        <v>19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3" ht="15.6" x14ac:dyDescent="0.3">
      <c r="A23" s="1"/>
      <c r="B23" s="12"/>
      <c r="C23" s="13"/>
      <c r="D23" s="13"/>
      <c r="E23" s="13"/>
      <c r="F23" s="13"/>
      <c r="G23" s="13"/>
      <c r="H23" s="13"/>
      <c r="I23" s="38"/>
      <c r="J23" s="13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4"/>
    </row>
    <row r="24" spans="1:33" ht="15.75" customHeight="1" x14ac:dyDescent="0.3">
      <c r="A24" s="1"/>
      <c r="B24" s="15"/>
      <c r="C24" s="104" t="s">
        <v>20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</row>
    <row r="25" spans="1:33" ht="15.6" x14ac:dyDescent="0.3">
      <c r="A25" s="1"/>
      <c r="B25" s="16"/>
      <c r="C25" s="2"/>
      <c r="D25" s="2"/>
      <c r="E25" s="2"/>
      <c r="F25" s="2"/>
      <c r="G25" s="2"/>
      <c r="H25" s="2"/>
      <c r="I25" s="36"/>
      <c r="J25" s="2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33" ht="15.6" x14ac:dyDescent="0.3">
      <c r="A26" s="1"/>
      <c r="B26" s="2"/>
      <c r="C26" s="2"/>
      <c r="D26" s="2"/>
      <c r="E26" s="2"/>
      <c r="F26" s="2"/>
      <c r="G26" s="2"/>
      <c r="H26" s="2"/>
      <c r="I26" s="36"/>
      <c r="J26" s="2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33" ht="15.6" x14ac:dyDescent="0.3">
      <c r="A27" s="1"/>
      <c r="B27" s="2"/>
      <c r="C27" s="2"/>
      <c r="D27" s="2"/>
      <c r="E27" s="2"/>
      <c r="F27" s="2"/>
      <c r="G27" s="2"/>
      <c r="H27" s="2"/>
      <c r="I27" s="36"/>
      <c r="J27" s="2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1:33" ht="15.6" x14ac:dyDescent="0.3">
      <c r="A28" s="1"/>
      <c r="B28" s="1"/>
      <c r="C28" s="1"/>
      <c r="D28" s="1"/>
      <c r="E28" s="1"/>
      <c r="F28" s="1"/>
      <c r="G28" s="1"/>
      <c r="H28" s="1"/>
      <c r="I28" s="39"/>
      <c r="J28" s="1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33" ht="15.6" x14ac:dyDescent="0.3">
      <c r="A29" s="1"/>
      <c r="B29" s="1"/>
      <c r="C29" s="1"/>
      <c r="D29" s="1"/>
      <c r="E29" s="1"/>
      <c r="F29" s="1"/>
      <c r="G29" s="1"/>
      <c r="H29" s="1"/>
      <c r="I29" s="39"/>
      <c r="J29" s="1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33" ht="15.6" x14ac:dyDescent="0.3">
      <c r="A30" s="1"/>
      <c r="B30" s="1"/>
      <c r="C30" s="1"/>
      <c r="D30" s="1"/>
      <c r="E30" s="1"/>
      <c r="F30" s="1"/>
      <c r="G30" s="1"/>
      <c r="H30" s="1"/>
      <c r="I30" s="39"/>
      <c r="J30" s="1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3" ht="15.6" x14ac:dyDescent="0.3">
      <c r="A31" s="1"/>
      <c r="B31" s="1"/>
      <c r="C31" s="1"/>
      <c r="D31" s="1"/>
      <c r="E31" s="1"/>
      <c r="F31" s="1"/>
      <c r="G31" s="1"/>
      <c r="H31" s="1"/>
      <c r="I31" s="39"/>
      <c r="J31" s="1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3" ht="15.6" x14ac:dyDescent="0.3">
      <c r="A32" s="1"/>
      <c r="B32" s="1"/>
      <c r="C32" s="1"/>
      <c r="D32" s="1"/>
      <c r="E32" s="1"/>
      <c r="F32" s="1"/>
      <c r="G32" s="1"/>
      <c r="H32" s="1"/>
      <c r="I32" s="39"/>
      <c r="J32" s="1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"/>
    </row>
    <row r="33" spans="1:10" ht="15.6" x14ac:dyDescent="0.3">
      <c r="A33" s="1"/>
      <c r="B33" s="1"/>
      <c r="C33" s="1"/>
      <c r="D33" s="1"/>
      <c r="E33" s="1"/>
      <c r="F33" s="1"/>
      <c r="G33" s="1"/>
      <c r="H33" s="1"/>
      <c r="I33" s="39"/>
      <c r="J33" s="1"/>
    </row>
    <row r="34" spans="1:10" ht="15.6" x14ac:dyDescent="0.3">
      <c r="A34" s="1"/>
      <c r="B34" s="1"/>
      <c r="C34" s="1"/>
      <c r="D34" s="1"/>
      <c r="E34" s="1"/>
      <c r="F34" s="1"/>
      <c r="G34" s="1"/>
      <c r="H34" s="1"/>
      <c r="I34" s="39"/>
      <c r="J34" s="1"/>
    </row>
    <row r="35" spans="1:10" ht="15.6" x14ac:dyDescent="0.3">
      <c r="A35" s="1"/>
      <c r="B35" s="1"/>
      <c r="C35" s="1"/>
      <c r="D35" s="1"/>
      <c r="E35" s="1"/>
      <c r="F35" s="1"/>
      <c r="G35" s="1"/>
      <c r="H35" s="1"/>
      <c r="I35" s="39"/>
      <c r="J35" s="1"/>
    </row>
    <row r="36" spans="1:10" ht="15.6" x14ac:dyDescent="0.3">
      <c r="A36" s="1"/>
      <c r="B36" s="1"/>
      <c r="C36" s="1"/>
      <c r="D36" s="1"/>
      <c r="E36" s="1"/>
      <c r="F36" s="1"/>
      <c r="G36" s="1"/>
      <c r="H36" s="1"/>
      <c r="I36" s="39"/>
      <c r="J36" s="1"/>
    </row>
    <row r="37" spans="1:10" ht="15.6" x14ac:dyDescent="0.3">
      <c r="A37" s="1"/>
      <c r="B37" s="1"/>
      <c r="C37" s="1"/>
      <c r="D37" s="1"/>
      <c r="E37" s="1"/>
      <c r="F37" s="1"/>
      <c r="G37" s="1"/>
      <c r="H37" s="1"/>
      <c r="I37" s="39"/>
      <c r="J37" s="1"/>
    </row>
    <row r="38" spans="1:10" ht="15.6" x14ac:dyDescent="0.3">
      <c r="A38" s="1"/>
      <c r="B38" s="1"/>
      <c r="C38" s="1"/>
      <c r="D38" s="1"/>
      <c r="E38" s="1"/>
      <c r="F38" s="1"/>
      <c r="G38" s="1"/>
      <c r="H38" s="1"/>
      <c r="I38" s="39"/>
      <c r="J38" s="1"/>
    </row>
    <row r="39" spans="1:10" ht="15.6" x14ac:dyDescent="0.3">
      <c r="A39" s="1"/>
      <c r="B39" s="1"/>
      <c r="C39" s="1"/>
      <c r="D39" s="1"/>
      <c r="E39" s="1"/>
      <c r="F39" s="1"/>
      <c r="G39" s="1"/>
      <c r="H39" s="1"/>
      <c r="I39" s="39"/>
      <c r="J39" s="1"/>
    </row>
    <row r="40" spans="1:10" ht="15.6" x14ac:dyDescent="0.3">
      <c r="A40" s="1"/>
      <c r="B40" s="1"/>
      <c r="C40" s="1"/>
      <c r="D40" s="1"/>
      <c r="E40" s="1"/>
      <c r="F40" s="1"/>
      <c r="G40" s="1"/>
      <c r="H40" s="1"/>
      <c r="I40" s="39"/>
      <c r="J40" s="1"/>
    </row>
    <row r="41" spans="1:10" ht="15.6" x14ac:dyDescent="0.3">
      <c r="A41" s="1"/>
      <c r="B41" s="1"/>
      <c r="C41" s="1"/>
      <c r="D41" s="1"/>
      <c r="E41" s="1"/>
      <c r="F41" s="1"/>
      <c r="G41" s="1"/>
      <c r="H41" s="1"/>
      <c r="I41" s="39"/>
      <c r="J41" s="1"/>
    </row>
    <row r="42" spans="1:10" ht="15.6" x14ac:dyDescent="0.3">
      <c r="A42" s="1"/>
      <c r="B42" s="1"/>
      <c r="C42" s="1"/>
      <c r="D42" s="1"/>
      <c r="E42" s="1"/>
      <c r="F42" s="1"/>
      <c r="G42" s="1"/>
      <c r="H42" s="1"/>
      <c r="I42" s="39"/>
      <c r="J42" s="1"/>
    </row>
    <row r="43" spans="1:10" ht="15.6" x14ac:dyDescent="0.3">
      <c r="A43" s="1"/>
      <c r="B43" s="1"/>
      <c r="C43" s="1"/>
      <c r="D43" s="1"/>
      <c r="E43" s="1"/>
      <c r="F43" s="1"/>
      <c r="G43" s="1"/>
      <c r="H43" s="1"/>
      <c r="I43" s="39"/>
      <c r="J43" s="1"/>
    </row>
    <row r="44" spans="1:10" ht="15.6" x14ac:dyDescent="0.3">
      <c r="A44" s="1"/>
      <c r="B44" s="1"/>
      <c r="C44" s="1"/>
      <c r="D44" s="1"/>
      <c r="E44" s="1"/>
      <c r="F44" s="1"/>
      <c r="G44" s="1"/>
      <c r="H44" s="1"/>
      <c r="I44" s="39"/>
      <c r="J44" s="1"/>
    </row>
    <row r="45" spans="1:10" ht="15.6" x14ac:dyDescent="0.3">
      <c r="A45" s="1"/>
      <c r="B45" s="1"/>
      <c r="C45" s="1"/>
      <c r="D45" s="1"/>
      <c r="E45" s="1"/>
      <c r="F45" s="1"/>
      <c r="G45" s="1"/>
      <c r="H45" s="1"/>
      <c r="I45" s="39"/>
      <c r="J45" s="1"/>
    </row>
    <row r="46" spans="1:10" ht="15.6" x14ac:dyDescent="0.3">
      <c r="A46" s="1"/>
      <c r="B46" s="1"/>
      <c r="C46" s="1"/>
      <c r="D46" s="1"/>
      <c r="E46" s="1"/>
      <c r="F46" s="1"/>
      <c r="G46" s="1"/>
      <c r="H46" s="1"/>
      <c r="I46" s="39"/>
      <c r="J46" s="1"/>
    </row>
    <row r="47" spans="1:10" ht="15.6" x14ac:dyDescent="0.3">
      <c r="A47" s="1"/>
      <c r="B47" s="1"/>
      <c r="C47" s="1"/>
      <c r="D47" s="1"/>
      <c r="E47" s="1"/>
      <c r="F47" s="1"/>
      <c r="G47" s="1"/>
      <c r="H47" s="1"/>
      <c r="I47" s="39"/>
      <c r="J47" s="1"/>
    </row>
    <row r="48" spans="1:10" ht="15.6" x14ac:dyDescent="0.3">
      <c r="A48" s="1"/>
      <c r="B48" s="1"/>
      <c r="C48" s="1"/>
      <c r="D48" s="1"/>
      <c r="E48" s="1"/>
      <c r="F48" s="1"/>
      <c r="G48" s="1"/>
      <c r="H48" s="1"/>
      <c r="I48" s="39"/>
      <c r="J48" s="1"/>
    </row>
    <row r="49" spans="1:30" ht="15.6" x14ac:dyDescent="0.3">
      <c r="A49" s="1"/>
      <c r="B49" s="1"/>
      <c r="C49" s="1"/>
      <c r="D49" s="1"/>
      <c r="E49" s="1"/>
      <c r="F49" s="1"/>
      <c r="G49" s="1"/>
      <c r="H49" s="1"/>
      <c r="I49" s="39"/>
      <c r="J49" s="1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1"/>
    </row>
    <row r="50" spans="1:30" ht="15.6" x14ac:dyDescent="0.3">
      <c r="A50" s="1"/>
      <c r="B50" s="1"/>
      <c r="C50" s="1"/>
      <c r="D50" s="1"/>
      <c r="E50" s="1"/>
      <c r="F50" s="1"/>
      <c r="G50" s="1"/>
      <c r="H50" s="1"/>
      <c r="I50" s="39"/>
      <c r="J50" s="1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18"/>
    </row>
    <row r="51" spans="1:30" ht="15.6" x14ac:dyDescent="0.3">
      <c r="A51" s="1"/>
      <c r="B51" s="1"/>
      <c r="C51" s="1"/>
      <c r="D51" s="1"/>
      <c r="E51" s="1"/>
      <c r="F51" s="1"/>
      <c r="G51" s="1"/>
      <c r="H51" s="1"/>
      <c r="I51" s="39"/>
      <c r="J51" s="1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18"/>
    </row>
    <row r="52" spans="1:30" ht="15.6" x14ac:dyDescent="0.3">
      <c r="A52" s="1"/>
      <c r="B52" s="1"/>
      <c r="C52" s="1"/>
      <c r="D52" s="1"/>
      <c r="E52" s="1"/>
      <c r="F52" s="1"/>
      <c r="G52" s="1"/>
      <c r="H52" s="1"/>
      <c r="I52" s="39"/>
      <c r="J52" s="1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18"/>
    </row>
    <row r="53" spans="1:30" ht="15.6" x14ac:dyDescent="0.3">
      <c r="A53" s="1"/>
      <c r="B53" s="1"/>
      <c r="C53" s="1"/>
      <c r="D53" s="1"/>
      <c r="E53" s="1"/>
      <c r="F53" s="1"/>
      <c r="G53" s="1"/>
      <c r="H53" s="1"/>
      <c r="I53" s="39"/>
      <c r="J53" s="1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1"/>
    </row>
    <row r="54" spans="1:30" ht="15.6" x14ac:dyDescent="0.3">
      <c r="A54" s="1"/>
      <c r="B54" s="1"/>
      <c r="C54" s="1"/>
      <c r="D54" s="1"/>
      <c r="E54" s="1"/>
      <c r="F54" s="1"/>
      <c r="G54" s="1"/>
      <c r="H54" s="1"/>
      <c r="I54" s="39"/>
      <c r="J54" s="1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9"/>
    </row>
    <row r="55" spans="1:30" ht="15.6" x14ac:dyDescent="0.3">
      <c r="A55" s="1"/>
      <c r="B55" s="1"/>
      <c r="C55" s="1"/>
      <c r="D55" s="1"/>
      <c r="E55" s="1"/>
      <c r="F55" s="1"/>
      <c r="G55" s="1"/>
      <c r="H55" s="1"/>
      <c r="I55" s="39"/>
      <c r="J55" s="1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"/>
    </row>
    <row r="56" spans="1:30" ht="15.6" x14ac:dyDescent="0.3">
      <c r="A56" s="1"/>
      <c r="B56" s="1"/>
      <c r="C56" s="1"/>
      <c r="D56" s="1"/>
      <c r="E56" s="1"/>
      <c r="F56" s="1"/>
      <c r="G56" s="1"/>
      <c r="H56" s="1"/>
      <c r="I56" s="39"/>
      <c r="J56" s="1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"/>
    </row>
    <row r="57" spans="1:30" ht="15.6" x14ac:dyDescent="0.3"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"/>
    </row>
    <row r="58" spans="1:30" ht="15.6" x14ac:dyDescent="0.3"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1"/>
    </row>
  </sheetData>
  <mergeCells count="12">
    <mergeCell ref="S5:T5"/>
    <mergeCell ref="S8:T8"/>
    <mergeCell ref="B22:T22"/>
    <mergeCell ref="C24:AG24"/>
    <mergeCell ref="B2:AD2"/>
    <mergeCell ref="B3:AD3"/>
    <mergeCell ref="B5:B8"/>
    <mergeCell ref="B18:C18"/>
    <mergeCell ref="B20:AD20"/>
    <mergeCell ref="B21:AD21"/>
    <mergeCell ref="F5:G5"/>
    <mergeCell ref="F8:G8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8"/>
  <sheetViews>
    <sheetView zoomScale="80" zoomScaleNormal="80" workbookViewId="0">
      <selection activeCell="W11" sqref="W11"/>
    </sheetView>
  </sheetViews>
  <sheetFormatPr defaultRowHeight="14.4" x14ac:dyDescent="0.3"/>
  <cols>
    <col min="1" max="1" width="2" customWidth="1"/>
    <col min="2" max="2" width="3.44140625" customWidth="1"/>
    <col min="3" max="3" width="22.6640625" customWidth="1"/>
    <col min="4" max="6" width="14" customWidth="1"/>
    <col min="7" max="7" width="13.5546875" customWidth="1"/>
    <col min="8" max="8" width="13" customWidth="1"/>
    <col min="9" max="9" width="11.5546875" customWidth="1"/>
    <col min="10" max="13" width="10" customWidth="1"/>
    <col min="14" max="14" width="7.88671875" customWidth="1"/>
    <col min="15" max="15" width="10" customWidth="1"/>
    <col min="16" max="16" width="7.6640625" customWidth="1"/>
    <col min="17" max="17" width="7.88671875" customWidth="1"/>
    <col min="18" max="18" width="8" customWidth="1"/>
    <col min="19" max="19" width="8.5546875" customWidth="1"/>
    <col min="20" max="21" width="8.33203125" customWidth="1"/>
    <col min="22" max="22" width="10.44140625" customWidth="1"/>
    <col min="23" max="23" width="9.44140625" customWidth="1"/>
    <col min="25" max="26" width="9.109375" hidden="1" customWidth="1"/>
  </cols>
  <sheetData>
    <row r="1" spans="1:24" ht="9" customHeight="1" x14ac:dyDescent="0.3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ht="26.25" customHeight="1" x14ac:dyDescent="0.3">
      <c r="A2" s="1"/>
      <c r="B2" s="105" t="s">
        <v>24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</row>
    <row r="3" spans="1:24" ht="15.75" customHeight="1" x14ac:dyDescent="0.3">
      <c r="A3" s="1"/>
      <c r="B3" s="106" t="s">
        <v>54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 spans="1:24" ht="15.75" customHeight="1" x14ac:dyDescent="0.3">
      <c r="A4" s="1"/>
      <c r="B4" s="3"/>
      <c r="C4" s="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55"/>
      <c r="P4" s="21"/>
      <c r="Q4" s="21"/>
      <c r="R4" s="21"/>
      <c r="S4" s="21"/>
      <c r="T4" s="21"/>
      <c r="U4" s="21"/>
      <c r="V4" s="21"/>
    </row>
    <row r="5" spans="1:24" ht="30.45" customHeight="1" x14ac:dyDescent="0.3">
      <c r="A5" s="1"/>
      <c r="B5" s="107" t="s">
        <v>0</v>
      </c>
      <c r="C5" s="5" t="s">
        <v>1</v>
      </c>
      <c r="D5" s="92" t="s">
        <v>38</v>
      </c>
      <c r="E5" s="97" t="s">
        <v>43</v>
      </c>
      <c r="F5" s="97" t="s">
        <v>43</v>
      </c>
      <c r="G5" s="92" t="s">
        <v>38</v>
      </c>
      <c r="H5" s="92" t="s">
        <v>34</v>
      </c>
      <c r="I5" s="92" t="s">
        <v>34</v>
      </c>
      <c r="J5" s="92" t="s">
        <v>34</v>
      </c>
      <c r="K5" s="92" t="s">
        <v>103</v>
      </c>
      <c r="L5" s="92" t="s">
        <v>65</v>
      </c>
      <c r="M5" s="58" t="s">
        <v>76</v>
      </c>
      <c r="N5" s="58" t="s">
        <v>77</v>
      </c>
      <c r="O5" s="58" t="s">
        <v>78</v>
      </c>
      <c r="P5" s="52" t="s">
        <v>70</v>
      </c>
      <c r="Q5" s="58" t="s">
        <v>79</v>
      </c>
      <c r="R5" s="58" t="s">
        <v>80</v>
      </c>
      <c r="S5" s="56" t="s">
        <v>70</v>
      </c>
    </row>
    <row r="6" spans="1:24" ht="15.6" x14ac:dyDescent="0.3">
      <c r="A6" s="1"/>
      <c r="B6" s="107"/>
      <c r="C6" s="5" t="s">
        <v>3</v>
      </c>
      <c r="D6" s="92">
        <v>5</v>
      </c>
      <c r="E6" s="94">
        <v>7</v>
      </c>
      <c r="F6" s="94">
        <v>7</v>
      </c>
      <c r="G6" s="92">
        <v>6</v>
      </c>
      <c r="H6" s="92">
        <v>5</v>
      </c>
      <c r="I6" s="92">
        <v>6</v>
      </c>
      <c r="J6" s="92">
        <v>5</v>
      </c>
      <c r="K6" s="92"/>
      <c r="L6" s="92">
        <v>3</v>
      </c>
      <c r="M6" s="8">
        <v>4</v>
      </c>
      <c r="N6" s="8"/>
      <c r="O6" s="8"/>
      <c r="P6" s="53"/>
      <c r="Q6" s="58">
        <v>4</v>
      </c>
      <c r="R6" s="58"/>
      <c r="S6" s="56"/>
    </row>
    <row r="7" spans="1:24" ht="15.6" x14ac:dyDescent="0.3">
      <c r="A7" s="1"/>
      <c r="B7" s="107"/>
      <c r="C7" s="5" t="s">
        <v>4</v>
      </c>
      <c r="D7" s="92"/>
      <c r="E7" s="94"/>
      <c r="F7" s="94"/>
      <c r="G7" s="92"/>
      <c r="H7" s="92"/>
      <c r="I7" s="92"/>
      <c r="J7" s="92"/>
      <c r="K7" s="92"/>
      <c r="L7" s="92"/>
      <c r="M7" s="8">
        <v>24</v>
      </c>
      <c r="N7" s="8"/>
      <c r="O7" s="8"/>
      <c r="P7" s="53"/>
      <c r="Q7" s="58">
        <v>24</v>
      </c>
      <c r="R7" s="58"/>
      <c r="S7" s="56"/>
    </row>
    <row r="8" spans="1:24" ht="76.2" customHeight="1" x14ac:dyDescent="0.3">
      <c r="A8" s="1"/>
      <c r="B8" s="107"/>
      <c r="C8" s="5" t="s">
        <v>5</v>
      </c>
      <c r="D8" s="93" t="s">
        <v>59</v>
      </c>
      <c r="E8" s="98" t="s">
        <v>37</v>
      </c>
      <c r="F8" s="98" t="s">
        <v>36</v>
      </c>
      <c r="G8" s="93" t="s">
        <v>60</v>
      </c>
      <c r="H8" s="93" t="s">
        <v>49</v>
      </c>
      <c r="I8" s="93" t="s">
        <v>51</v>
      </c>
      <c r="J8" s="92" t="s">
        <v>23</v>
      </c>
      <c r="K8" s="92" t="s">
        <v>104</v>
      </c>
      <c r="L8" s="92" t="s">
        <v>66</v>
      </c>
      <c r="M8" s="8" t="s">
        <v>69</v>
      </c>
      <c r="N8" s="58" t="s">
        <v>57</v>
      </c>
      <c r="O8" s="58" t="s">
        <v>57</v>
      </c>
      <c r="P8" s="53"/>
      <c r="Q8" s="58" t="s">
        <v>69</v>
      </c>
      <c r="R8" s="58" t="s">
        <v>57</v>
      </c>
      <c r="S8" s="56"/>
    </row>
    <row r="9" spans="1:24" ht="18" x14ac:dyDescent="0.3">
      <c r="A9" s="1"/>
      <c r="B9" s="8">
        <v>1</v>
      </c>
      <c r="C9" s="9" t="s">
        <v>6</v>
      </c>
      <c r="D9" s="92">
        <v>94</v>
      </c>
      <c r="E9" s="94">
        <v>74</v>
      </c>
      <c r="F9" s="94">
        <v>36</v>
      </c>
      <c r="G9" s="92">
        <v>65</v>
      </c>
      <c r="H9" s="92">
        <v>109</v>
      </c>
      <c r="I9" s="92">
        <v>65</v>
      </c>
      <c r="J9" s="92"/>
      <c r="K9" s="92"/>
      <c r="L9" s="92">
        <v>76</v>
      </c>
      <c r="M9" s="8">
        <v>62</v>
      </c>
      <c r="N9" s="8"/>
      <c r="O9" s="8"/>
      <c r="P9" s="53">
        <f>SUM(D9:O9)</f>
        <v>581</v>
      </c>
      <c r="Q9" s="60">
        <v>62</v>
      </c>
      <c r="R9" s="60"/>
      <c r="S9" s="56">
        <f>SUM(Q9:R9)</f>
        <v>62</v>
      </c>
    </row>
    <row r="10" spans="1:24" ht="31.2" x14ac:dyDescent="0.3">
      <c r="A10" s="1"/>
      <c r="B10" s="8">
        <v>2</v>
      </c>
      <c r="C10" s="9" t="s">
        <v>7</v>
      </c>
      <c r="D10" s="99"/>
      <c r="E10" s="94"/>
      <c r="F10" s="94"/>
      <c r="G10" s="99"/>
      <c r="H10" s="99"/>
      <c r="I10" s="99"/>
      <c r="J10" s="92"/>
      <c r="K10" s="92"/>
      <c r="L10" s="92">
        <v>48</v>
      </c>
      <c r="M10" s="8">
        <v>36</v>
      </c>
      <c r="N10" s="8"/>
      <c r="O10" s="8"/>
      <c r="P10" s="53">
        <f>SUM(D10:O10)</f>
        <v>84</v>
      </c>
      <c r="Q10" s="60"/>
      <c r="R10" s="60"/>
      <c r="S10" s="56"/>
    </row>
    <row r="11" spans="1:24" ht="18" x14ac:dyDescent="0.3">
      <c r="A11" s="1"/>
      <c r="B11" s="8">
        <v>3</v>
      </c>
      <c r="C11" s="9" t="s">
        <v>8</v>
      </c>
      <c r="D11" s="92">
        <v>2</v>
      </c>
      <c r="E11" s="94">
        <v>5</v>
      </c>
      <c r="F11" s="94"/>
      <c r="G11" s="92"/>
      <c r="H11" s="92">
        <v>2</v>
      </c>
      <c r="I11" s="92">
        <v>5</v>
      </c>
      <c r="J11" s="92"/>
      <c r="K11" s="92"/>
      <c r="L11" s="92"/>
      <c r="M11" s="8"/>
      <c r="N11" s="8"/>
      <c r="O11" s="8"/>
      <c r="P11" s="53">
        <f>SUM(D11:O11)</f>
        <v>14</v>
      </c>
      <c r="Q11" s="60"/>
      <c r="R11" s="60"/>
      <c r="S11" s="56"/>
    </row>
    <row r="12" spans="1:24" ht="18" x14ac:dyDescent="0.3">
      <c r="A12" s="1"/>
      <c r="B12" s="8">
        <v>4</v>
      </c>
      <c r="C12" s="9" t="s">
        <v>9</v>
      </c>
      <c r="D12" s="92"/>
      <c r="E12" s="94"/>
      <c r="F12" s="94"/>
      <c r="G12" s="92"/>
      <c r="H12" s="92"/>
      <c r="I12" s="92"/>
      <c r="J12" s="92"/>
      <c r="K12" s="92"/>
      <c r="L12" s="92"/>
      <c r="M12" s="8"/>
      <c r="N12" s="8"/>
      <c r="O12" s="8"/>
      <c r="P12" s="53"/>
      <c r="Q12" s="60"/>
      <c r="R12" s="60"/>
      <c r="S12" s="56"/>
    </row>
    <row r="13" spans="1:24" ht="18" x14ac:dyDescent="0.3">
      <c r="A13" s="1"/>
      <c r="B13" s="8">
        <v>5</v>
      </c>
      <c r="C13" s="9" t="s">
        <v>10</v>
      </c>
      <c r="D13" s="92"/>
      <c r="E13" s="94"/>
      <c r="F13" s="94"/>
      <c r="G13" s="92"/>
      <c r="H13" s="92"/>
      <c r="I13" s="92"/>
      <c r="J13" s="92">
        <v>72</v>
      </c>
      <c r="K13" s="92"/>
      <c r="L13" s="92"/>
      <c r="M13" s="8"/>
      <c r="N13" s="8">
        <v>72</v>
      </c>
      <c r="O13" s="8">
        <v>72</v>
      </c>
      <c r="P13" s="53">
        <f>SUM(J13:O13)</f>
        <v>216</v>
      </c>
      <c r="Q13" s="60"/>
      <c r="R13" s="60">
        <v>72</v>
      </c>
      <c r="S13" s="56">
        <f>SUM(Q13:R13)</f>
        <v>72</v>
      </c>
    </row>
    <row r="14" spans="1:24" ht="31.2" x14ac:dyDescent="0.3">
      <c r="A14" s="1"/>
      <c r="B14" s="8">
        <v>6</v>
      </c>
      <c r="C14" s="9" t="s">
        <v>11</v>
      </c>
      <c r="D14" s="92"/>
      <c r="E14" s="94"/>
      <c r="F14" s="94"/>
      <c r="G14" s="92"/>
      <c r="H14" s="92"/>
      <c r="I14" s="92"/>
      <c r="J14" s="92"/>
      <c r="K14" s="92"/>
      <c r="L14" s="92"/>
      <c r="M14" s="8"/>
      <c r="N14" s="8"/>
      <c r="O14" s="8"/>
      <c r="P14" s="53"/>
      <c r="Q14" s="60"/>
      <c r="R14" s="60"/>
      <c r="S14" s="56"/>
    </row>
    <row r="15" spans="1:24" ht="18" x14ac:dyDescent="0.3">
      <c r="A15" s="1"/>
      <c r="B15" s="8">
        <v>7</v>
      </c>
      <c r="C15" s="9" t="s">
        <v>12</v>
      </c>
      <c r="D15" s="92"/>
      <c r="E15" s="94"/>
      <c r="F15" s="94"/>
      <c r="G15" s="92"/>
      <c r="H15" s="92"/>
      <c r="I15" s="92"/>
      <c r="J15" s="92"/>
      <c r="K15" s="92"/>
      <c r="L15" s="92"/>
      <c r="M15" s="8"/>
      <c r="N15" s="8"/>
      <c r="O15" s="8"/>
      <c r="P15" s="53"/>
      <c r="Q15" s="60"/>
      <c r="R15" s="60"/>
      <c r="S15" s="56"/>
    </row>
    <row r="16" spans="1:24" ht="18" x14ac:dyDescent="0.3">
      <c r="A16" s="1"/>
      <c r="B16" s="8">
        <v>8</v>
      </c>
      <c r="C16" s="9" t="s">
        <v>13</v>
      </c>
      <c r="D16" s="92"/>
      <c r="E16" s="94"/>
      <c r="F16" s="94"/>
      <c r="G16" s="92"/>
      <c r="H16" s="92"/>
      <c r="I16" s="92"/>
      <c r="J16" s="92"/>
      <c r="K16" s="92"/>
      <c r="L16" s="92"/>
      <c r="M16" s="8"/>
      <c r="N16" s="8"/>
      <c r="O16" s="8"/>
      <c r="P16" s="53"/>
      <c r="Q16" s="60"/>
      <c r="R16" s="60"/>
      <c r="S16" s="56"/>
    </row>
    <row r="17" spans="1:26" ht="18" x14ac:dyDescent="0.3">
      <c r="A17" s="1"/>
      <c r="B17" s="8">
        <v>9</v>
      </c>
      <c r="C17" s="9" t="s">
        <v>14</v>
      </c>
      <c r="D17" s="92">
        <v>8</v>
      </c>
      <c r="E17" s="94">
        <v>8</v>
      </c>
      <c r="F17" s="94"/>
      <c r="G17" s="92"/>
      <c r="H17" s="92">
        <v>8</v>
      </c>
      <c r="I17" s="92">
        <v>8</v>
      </c>
      <c r="J17" s="92"/>
      <c r="K17" s="92"/>
      <c r="L17" s="92"/>
      <c r="M17" s="8"/>
      <c r="N17" s="8"/>
      <c r="O17" s="8"/>
      <c r="P17" s="53">
        <f>SUM(D17:O17)</f>
        <v>32</v>
      </c>
      <c r="Q17" s="60"/>
      <c r="R17" s="60"/>
      <c r="S17" s="56"/>
    </row>
    <row r="18" spans="1:26" ht="30.75" customHeight="1" x14ac:dyDescent="0.35">
      <c r="A18" s="10"/>
      <c r="B18" s="108" t="s">
        <v>15</v>
      </c>
      <c r="C18" s="108"/>
      <c r="D18" s="95">
        <f t="shared" ref="D18:L18" si="0">SUM(D9:D17)</f>
        <v>104</v>
      </c>
      <c r="E18" s="96">
        <f>SUM(E9:E17)</f>
        <v>87</v>
      </c>
      <c r="F18" s="96">
        <f>SUM(F9:F17)</f>
        <v>36</v>
      </c>
      <c r="G18" s="95">
        <f t="shared" si="0"/>
        <v>65</v>
      </c>
      <c r="H18" s="95">
        <f t="shared" si="0"/>
        <v>119</v>
      </c>
      <c r="I18" s="95">
        <f t="shared" si="0"/>
        <v>78</v>
      </c>
      <c r="J18" s="95">
        <f t="shared" si="0"/>
        <v>72</v>
      </c>
      <c r="K18" s="95">
        <v>0</v>
      </c>
      <c r="L18" s="95">
        <f t="shared" si="0"/>
        <v>124</v>
      </c>
      <c r="M18" s="57">
        <f>SUM(M9:M17)</f>
        <v>98</v>
      </c>
      <c r="N18" s="57">
        <f>SUM(N10:N17)</f>
        <v>72</v>
      </c>
      <c r="O18" s="57">
        <f>SUM(O13:O17)</f>
        <v>72</v>
      </c>
      <c r="P18" s="54">
        <f>SUM(D18:O18)</f>
        <v>927</v>
      </c>
      <c r="Q18" s="61">
        <f>SUM(Q9:Q17)</f>
        <v>62</v>
      </c>
      <c r="R18" s="61">
        <f>SUM(R9:R17)</f>
        <v>72</v>
      </c>
      <c r="S18" s="56">
        <f>SUM(Q18:R18)</f>
        <v>134</v>
      </c>
      <c r="U18">
        <f>P18+S18</f>
        <v>1061</v>
      </c>
    </row>
    <row r="19" spans="1:26" ht="15.6" x14ac:dyDescent="0.3">
      <c r="A19" s="1"/>
      <c r="B19" s="12"/>
      <c r="C19" s="13" t="s">
        <v>16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</row>
    <row r="20" spans="1:26" ht="27" customHeight="1" x14ac:dyDescent="0.3">
      <c r="A20" s="1"/>
      <c r="B20" s="109" t="s">
        <v>17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26"/>
    </row>
    <row r="21" spans="1:26" ht="15.75" customHeight="1" x14ac:dyDescent="0.3">
      <c r="A21" s="1"/>
      <c r="B21" s="103" t="s">
        <v>18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3"/>
    </row>
    <row r="22" spans="1:26" ht="15.75" customHeight="1" x14ac:dyDescent="0.3">
      <c r="A22" s="1"/>
      <c r="B22" s="103" t="s">
        <v>19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3"/>
    </row>
    <row r="23" spans="1:26" ht="15.6" x14ac:dyDescent="0.3">
      <c r="A23" s="1"/>
      <c r="B23" s="12"/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spans="1:26" ht="15.75" customHeight="1" x14ac:dyDescent="0.3">
      <c r="A24" s="1"/>
      <c r="B24" s="15"/>
      <c r="C24" s="106" t="s">
        <v>25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22"/>
      <c r="U24" s="22"/>
      <c r="V24" s="22"/>
      <c r="W24" s="22"/>
    </row>
    <row r="25" spans="1:26" ht="15.6" x14ac:dyDescent="0.3">
      <c r="A25" s="1"/>
      <c r="B25" s="16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6" ht="15.6" x14ac:dyDescent="0.3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6" ht="15.6" x14ac:dyDescent="0.3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6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6" ht="15.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6" ht="15.6" x14ac:dyDescent="0.3">
      <c r="A30" s="1"/>
      <c r="B30" s="1"/>
      <c r="C30" s="1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spans="1:26" ht="15.6" x14ac:dyDescent="0.3">
      <c r="A31" s="1"/>
      <c r="B31" s="1"/>
      <c r="C31" s="1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spans="1:26" ht="15.6" x14ac:dyDescent="0.3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1"/>
    </row>
    <row r="33" spans="1:3" ht="15.6" x14ac:dyDescent="0.3">
      <c r="A33" s="1"/>
      <c r="B33" s="1"/>
      <c r="C33" s="1"/>
    </row>
    <row r="34" spans="1:3" ht="15.6" x14ac:dyDescent="0.3">
      <c r="A34" s="1"/>
      <c r="B34" s="1"/>
      <c r="C34" s="1"/>
    </row>
    <row r="35" spans="1:3" ht="15.6" x14ac:dyDescent="0.3">
      <c r="A35" s="1"/>
      <c r="B35" s="1"/>
      <c r="C35" s="1"/>
    </row>
    <row r="36" spans="1:3" ht="15.6" x14ac:dyDescent="0.3">
      <c r="A36" s="1"/>
      <c r="B36" s="1"/>
      <c r="C36" s="1"/>
    </row>
    <row r="37" spans="1:3" ht="15.6" x14ac:dyDescent="0.3">
      <c r="A37" s="1"/>
      <c r="B37" s="1"/>
      <c r="C37" s="1"/>
    </row>
    <row r="38" spans="1:3" ht="15.6" x14ac:dyDescent="0.3">
      <c r="A38" s="1"/>
      <c r="B38" s="1"/>
      <c r="C38" s="1"/>
    </row>
    <row r="39" spans="1:3" ht="15.6" x14ac:dyDescent="0.3">
      <c r="A39" s="1"/>
      <c r="B39" s="1"/>
      <c r="C39" s="1"/>
    </row>
    <row r="40" spans="1:3" ht="15.6" x14ac:dyDescent="0.3">
      <c r="A40" s="1"/>
      <c r="B40" s="1"/>
      <c r="C40" s="1"/>
    </row>
    <row r="41" spans="1:3" ht="15.6" x14ac:dyDescent="0.3">
      <c r="A41" s="1"/>
      <c r="B41" s="1"/>
      <c r="C41" s="1"/>
    </row>
    <row r="42" spans="1:3" ht="15.6" x14ac:dyDescent="0.3">
      <c r="A42" s="1"/>
      <c r="B42" s="1"/>
      <c r="C42" s="1"/>
    </row>
    <row r="43" spans="1:3" ht="15.6" x14ac:dyDescent="0.3">
      <c r="A43" s="1"/>
      <c r="B43" s="1"/>
      <c r="C43" s="1"/>
    </row>
    <row r="44" spans="1:3" ht="15.6" x14ac:dyDescent="0.3">
      <c r="A44" s="1"/>
      <c r="B44" s="1"/>
      <c r="C44" s="1"/>
    </row>
    <row r="45" spans="1:3" ht="15.6" x14ac:dyDescent="0.3">
      <c r="A45" s="1"/>
      <c r="B45" s="1"/>
      <c r="C45" s="1"/>
    </row>
    <row r="46" spans="1:3" ht="15.6" x14ac:dyDescent="0.3">
      <c r="A46" s="1"/>
      <c r="B46" s="1"/>
      <c r="C46" s="1"/>
    </row>
    <row r="47" spans="1:3" ht="15.6" x14ac:dyDescent="0.3">
      <c r="A47" s="1"/>
      <c r="B47" s="1"/>
      <c r="C47" s="1"/>
    </row>
    <row r="48" spans="1:3" ht="15.6" x14ac:dyDescent="0.3">
      <c r="A48" s="1"/>
      <c r="B48" s="1"/>
      <c r="C48" s="1"/>
    </row>
    <row r="49" spans="1:26" ht="15.6" x14ac:dyDescent="0.3">
      <c r="A49" s="1"/>
      <c r="B49" s="1"/>
      <c r="C49" s="1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"/>
    </row>
    <row r="50" spans="1:26" ht="15.6" x14ac:dyDescent="0.3">
      <c r="A50" s="1"/>
      <c r="B50" s="1"/>
      <c r="C50" s="1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5.6" x14ac:dyDescent="0.3">
      <c r="A51" s="1"/>
      <c r="B51" s="1"/>
      <c r="C51" s="1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5.6" x14ac:dyDescent="0.3">
      <c r="A52" s="1"/>
      <c r="B52" s="1"/>
      <c r="C52" s="1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5.6" x14ac:dyDescent="0.3">
      <c r="A53" s="1"/>
      <c r="B53" s="1"/>
      <c r="C53" s="1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"/>
    </row>
    <row r="54" spans="1:26" ht="15.6" x14ac:dyDescent="0.3">
      <c r="A54" s="1"/>
      <c r="B54" s="1"/>
      <c r="C54" s="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5.6" x14ac:dyDescent="0.3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1"/>
    </row>
    <row r="56" spans="1:26" ht="15.6" x14ac:dyDescent="0.3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1"/>
    </row>
    <row r="57" spans="1:26" ht="15.6" x14ac:dyDescent="0.3"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1"/>
    </row>
    <row r="58" spans="1:26" ht="15.6" x14ac:dyDescent="0.3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</sheetData>
  <mergeCells count="14">
    <mergeCell ref="D52:Z52"/>
    <mergeCell ref="D54:Z54"/>
    <mergeCell ref="D30:Z30"/>
    <mergeCell ref="D31:Z31"/>
    <mergeCell ref="D50:Z50"/>
    <mergeCell ref="D51:Z51"/>
    <mergeCell ref="C24:S24"/>
    <mergeCell ref="B22:V22"/>
    <mergeCell ref="B5:B8"/>
    <mergeCell ref="B2:X2"/>
    <mergeCell ref="B3:X3"/>
    <mergeCell ref="B18:C18"/>
    <mergeCell ref="B20:V20"/>
    <mergeCell ref="B21:V21"/>
  </mergeCells>
  <phoneticPr fontId="6" type="noConversion"/>
  <pageMargins left="0.7" right="0.7" top="0.75" bottom="0.75" header="0.3" footer="0.3"/>
  <pageSetup paperSize="9" scale="4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zoomScale="90" zoomScaleNormal="90" workbookViewId="0">
      <selection sqref="A1:V20"/>
    </sheetView>
  </sheetViews>
  <sheetFormatPr defaultRowHeight="14.4" x14ac:dyDescent="0.3"/>
  <cols>
    <col min="1" max="1" width="3.33203125" customWidth="1"/>
    <col min="2" max="2" width="11.5546875" customWidth="1"/>
    <col min="3" max="3" width="6" customWidth="1"/>
    <col min="4" max="4" width="4.44140625" customWidth="1"/>
    <col min="5" max="5" width="6.109375" customWidth="1"/>
    <col min="6" max="6" width="4.88671875" customWidth="1"/>
    <col min="7" max="7" width="7.5546875" customWidth="1"/>
    <col min="8" max="8" width="7" customWidth="1"/>
    <col min="9" max="9" width="4.6640625" customWidth="1"/>
    <col min="10" max="10" width="5.88671875" customWidth="1"/>
    <col min="11" max="11" width="7.6640625" customWidth="1"/>
    <col min="12" max="12" width="5.88671875" customWidth="1"/>
    <col min="13" max="13" width="4.88671875" customWidth="1"/>
    <col min="14" max="14" width="4.33203125" customWidth="1"/>
    <col min="15" max="15" width="4" customWidth="1"/>
    <col min="16" max="16" width="5.6640625" customWidth="1"/>
    <col min="17" max="17" width="6" customWidth="1"/>
    <col min="18" max="18" width="5.6640625" customWidth="1"/>
    <col min="19" max="20" width="5.44140625" customWidth="1"/>
    <col min="21" max="21" width="7.33203125" customWidth="1"/>
    <col min="22" max="22" width="6.5546875" customWidth="1"/>
  </cols>
  <sheetData>
    <row r="1" spans="1:23" ht="23.25" customHeight="1" x14ac:dyDescent="0.3">
      <c r="A1" s="115" t="s">
        <v>81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</row>
    <row r="2" spans="1:23" ht="35.25" customHeight="1" x14ac:dyDescent="0.3">
      <c r="A2" s="62" t="s">
        <v>54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3"/>
      <c r="N2" s="64"/>
      <c r="O2" s="64"/>
      <c r="P2" s="64"/>
      <c r="Q2" s="64"/>
      <c r="R2" s="64"/>
      <c r="S2" s="64"/>
      <c r="T2" s="64"/>
      <c r="U2" s="65"/>
      <c r="V2" s="120" t="s">
        <v>82</v>
      </c>
    </row>
    <row r="3" spans="1:23" x14ac:dyDescent="0.3">
      <c r="A3" s="62" t="s">
        <v>0</v>
      </c>
      <c r="B3" s="68" t="s">
        <v>83</v>
      </c>
      <c r="C3" s="68" t="s">
        <v>84</v>
      </c>
      <c r="D3" s="68" t="s">
        <v>85</v>
      </c>
      <c r="E3" s="117" t="s">
        <v>84</v>
      </c>
      <c r="F3" s="118"/>
      <c r="G3" s="119"/>
      <c r="H3" s="117" t="s">
        <v>86</v>
      </c>
      <c r="I3" s="118"/>
      <c r="J3" s="119"/>
      <c r="K3" s="117" t="s">
        <v>87</v>
      </c>
      <c r="L3" s="118"/>
      <c r="M3" s="118"/>
      <c r="N3" s="119"/>
      <c r="O3" s="117" t="s">
        <v>88</v>
      </c>
      <c r="P3" s="118"/>
      <c r="Q3" s="119"/>
      <c r="R3" s="68" t="s">
        <v>88</v>
      </c>
      <c r="S3" s="117" t="s">
        <v>71</v>
      </c>
      <c r="T3" s="118"/>
      <c r="U3" s="119"/>
      <c r="V3" s="121"/>
      <c r="W3" s="59"/>
    </row>
    <row r="4" spans="1:23" x14ac:dyDescent="0.3">
      <c r="A4" s="62"/>
      <c r="B4" s="62" t="s">
        <v>3</v>
      </c>
      <c r="C4" s="62">
        <v>1</v>
      </c>
      <c r="D4" s="62">
        <v>1</v>
      </c>
      <c r="E4" s="62">
        <v>1</v>
      </c>
      <c r="F4" s="62">
        <v>2</v>
      </c>
      <c r="G4" s="62">
        <v>2</v>
      </c>
      <c r="H4" s="62">
        <v>1</v>
      </c>
      <c r="I4" s="62">
        <v>2</v>
      </c>
      <c r="J4" s="62">
        <v>2</v>
      </c>
      <c r="K4" s="62">
        <v>3</v>
      </c>
      <c r="L4" s="62">
        <v>3</v>
      </c>
      <c r="M4" s="62">
        <v>3</v>
      </c>
      <c r="N4" s="62">
        <v>4</v>
      </c>
      <c r="O4" s="62">
        <v>1</v>
      </c>
      <c r="P4" s="62">
        <v>1</v>
      </c>
      <c r="Q4" s="62">
        <v>1</v>
      </c>
      <c r="R4" s="62">
        <v>2</v>
      </c>
      <c r="S4" s="62">
        <v>3</v>
      </c>
      <c r="T4" s="62">
        <v>3</v>
      </c>
      <c r="U4" s="62">
        <v>4</v>
      </c>
      <c r="V4" s="121"/>
      <c r="W4" s="59"/>
    </row>
    <row r="5" spans="1:23" x14ac:dyDescent="0.3">
      <c r="A5" s="62"/>
      <c r="B5" s="62" t="s">
        <v>4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121"/>
      <c r="W5" s="59"/>
    </row>
    <row r="6" spans="1:23" ht="93" customHeight="1" x14ac:dyDescent="0.3">
      <c r="A6" s="62"/>
      <c r="B6" s="62" t="s">
        <v>5</v>
      </c>
      <c r="C6" s="113" t="s">
        <v>89</v>
      </c>
      <c r="D6" s="114"/>
      <c r="E6" s="66" t="s">
        <v>90</v>
      </c>
      <c r="F6" s="66" t="s">
        <v>91</v>
      </c>
      <c r="G6" s="66" t="s">
        <v>33</v>
      </c>
      <c r="H6" s="66" t="s">
        <v>90</v>
      </c>
      <c r="I6" s="66" t="s">
        <v>92</v>
      </c>
      <c r="J6" s="66" t="s">
        <v>33</v>
      </c>
      <c r="K6" s="66" t="s">
        <v>93</v>
      </c>
      <c r="L6" s="66" t="s">
        <v>94</v>
      </c>
      <c r="M6" s="66" t="s">
        <v>95</v>
      </c>
      <c r="N6" s="66" t="s">
        <v>29</v>
      </c>
      <c r="O6" s="66" t="s">
        <v>89</v>
      </c>
      <c r="P6" s="66" t="s">
        <v>96</v>
      </c>
      <c r="Q6" s="66" t="s">
        <v>97</v>
      </c>
      <c r="R6" s="66" t="s">
        <v>98</v>
      </c>
      <c r="S6" s="66" t="s">
        <v>99</v>
      </c>
      <c r="T6" s="113" t="s">
        <v>72</v>
      </c>
      <c r="U6" s="114"/>
      <c r="V6" s="122"/>
      <c r="W6" s="59"/>
    </row>
    <row r="7" spans="1:23" ht="28.2" x14ac:dyDescent="0.3">
      <c r="A7" s="62"/>
      <c r="B7" s="66" t="s">
        <v>6</v>
      </c>
      <c r="C7" s="62">
        <v>38</v>
      </c>
      <c r="D7" s="62">
        <v>38</v>
      </c>
      <c r="E7" s="62">
        <v>40</v>
      </c>
      <c r="F7" s="62">
        <v>22</v>
      </c>
      <c r="G7" s="62">
        <v>18</v>
      </c>
      <c r="H7" s="62">
        <v>40</v>
      </c>
      <c r="I7" s="62">
        <v>22</v>
      </c>
      <c r="J7" s="62">
        <v>18</v>
      </c>
      <c r="K7" s="62">
        <v>34</v>
      </c>
      <c r="L7" s="62">
        <v>24</v>
      </c>
      <c r="M7" s="62">
        <v>74</v>
      </c>
      <c r="N7" s="62">
        <v>102</v>
      </c>
      <c r="O7" s="62">
        <v>36</v>
      </c>
      <c r="P7" s="62">
        <v>38</v>
      </c>
      <c r="Q7" s="62">
        <v>36</v>
      </c>
      <c r="R7" s="62"/>
      <c r="S7" s="62">
        <v>58</v>
      </c>
      <c r="T7" s="62">
        <v>72</v>
      </c>
      <c r="U7" s="62">
        <v>36</v>
      </c>
      <c r="V7" s="69">
        <f>SUM(C7:U7)</f>
        <v>746</v>
      </c>
      <c r="W7" s="59"/>
    </row>
    <row r="8" spans="1:23" ht="42" x14ac:dyDescent="0.3">
      <c r="A8" s="62"/>
      <c r="B8" s="66" t="s">
        <v>7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40</v>
      </c>
      <c r="V8" s="69"/>
      <c r="W8" s="59"/>
    </row>
    <row r="9" spans="1:23" ht="28.2" x14ac:dyDescent="0.3">
      <c r="A9" s="62"/>
      <c r="B9" s="66" t="s">
        <v>8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>
        <v>4</v>
      </c>
      <c r="O9" s="62"/>
      <c r="P9" s="62"/>
      <c r="Q9" s="62"/>
      <c r="R9" s="62"/>
      <c r="S9" s="62">
        <v>2</v>
      </c>
      <c r="T9" s="62"/>
      <c r="U9" s="62">
        <v>2</v>
      </c>
      <c r="V9" s="69">
        <f>SUM(C9:U9)</f>
        <v>8</v>
      </c>
      <c r="W9" s="59"/>
    </row>
    <row r="10" spans="1:23" x14ac:dyDescent="0.3">
      <c r="A10" s="62"/>
      <c r="B10" s="66" t="s">
        <v>10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9"/>
      <c r="W10" s="59"/>
    </row>
    <row r="11" spans="1:23" ht="28.2" x14ac:dyDescent="0.3">
      <c r="A11" s="62"/>
      <c r="B11" s="66" t="s">
        <v>13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9"/>
      <c r="W11" s="59"/>
    </row>
    <row r="12" spans="1:23" ht="28.2" x14ac:dyDescent="0.3">
      <c r="A12" s="62"/>
      <c r="B12" s="66" t="s">
        <v>12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9"/>
      <c r="W12" s="59"/>
    </row>
    <row r="13" spans="1:23" x14ac:dyDescent="0.3">
      <c r="A13" s="62"/>
      <c r="B13" s="66" t="s">
        <v>14</v>
      </c>
      <c r="C13" s="62"/>
      <c r="D13" s="62"/>
      <c r="E13" s="62"/>
      <c r="F13" s="62"/>
      <c r="G13" s="62"/>
      <c r="H13" s="62"/>
      <c r="I13" s="62"/>
      <c r="J13" s="62"/>
      <c r="K13" s="62"/>
      <c r="L13" s="62">
        <v>8</v>
      </c>
      <c r="M13" s="62">
        <v>8</v>
      </c>
      <c r="N13" s="62">
        <v>8</v>
      </c>
      <c r="O13" s="62"/>
      <c r="P13" s="62"/>
      <c r="Q13" s="62"/>
      <c r="R13" s="62"/>
      <c r="S13" s="62">
        <v>8</v>
      </c>
      <c r="T13" s="62"/>
      <c r="U13" s="62">
        <v>8</v>
      </c>
      <c r="V13" s="69">
        <f>SUM(C13:U13)</f>
        <v>40</v>
      </c>
      <c r="W13" s="59"/>
    </row>
    <row r="14" spans="1:23" x14ac:dyDescent="0.3">
      <c r="A14" s="62"/>
      <c r="B14" s="67" t="s">
        <v>70</v>
      </c>
      <c r="C14" s="69">
        <v>38</v>
      </c>
      <c r="D14" s="69">
        <v>38</v>
      </c>
      <c r="E14" s="69">
        <v>40</v>
      </c>
      <c r="F14" s="69">
        <v>22</v>
      </c>
      <c r="G14" s="69">
        <v>18</v>
      </c>
      <c r="H14" s="69">
        <v>40</v>
      </c>
      <c r="I14" s="69">
        <v>22</v>
      </c>
      <c r="J14" s="69">
        <v>18</v>
      </c>
      <c r="K14" s="69">
        <v>28</v>
      </c>
      <c r="L14" s="69">
        <v>38</v>
      </c>
      <c r="M14" s="69">
        <v>68</v>
      </c>
      <c r="N14" s="69">
        <v>114</v>
      </c>
      <c r="O14" s="69">
        <v>36</v>
      </c>
      <c r="P14" s="69">
        <v>38</v>
      </c>
      <c r="Q14" s="69">
        <v>36</v>
      </c>
      <c r="R14" s="69">
        <v>0</v>
      </c>
      <c r="S14" s="69">
        <v>68</v>
      </c>
      <c r="T14" s="69">
        <f>SUM(T7:T13)</f>
        <v>72</v>
      </c>
      <c r="U14" s="69">
        <f>SUM(U7:U13)</f>
        <v>86</v>
      </c>
      <c r="V14" s="69">
        <f>SUM(C14:U14)</f>
        <v>820</v>
      </c>
      <c r="W14" s="59"/>
    </row>
    <row r="15" spans="1:23" x14ac:dyDescent="0.3">
      <c r="B15" t="s">
        <v>16</v>
      </c>
    </row>
    <row r="16" spans="1:23" x14ac:dyDescent="0.3">
      <c r="B16" t="s">
        <v>17</v>
      </c>
    </row>
    <row r="17" spans="2:2" x14ac:dyDescent="0.3">
      <c r="B17" t="s">
        <v>18</v>
      </c>
    </row>
    <row r="18" spans="2:2" x14ac:dyDescent="0.3">
      <c r="B18" t="s">
        <v>19</v>
      </c>
    </row>
    <row r="20" spans="2:2" x14ac:dyDescent="0.3">
      <c r="B20" t="s">
        <v>100</v>
      </c>
    </row>
  </sheetData>
  <mergeCells count="9">
    <mergeCell ref="T6:U6"/>
    <mergeCell ref="A1:V1"/>
    <mergeCell ref="C6:D6"/>
    <mergeCell ref="E3:G3"/>
    <mergeCell ref="H3:J3"/>
    <mergeCell ref="K3:N3"/>
    <mergeCell ref="O3:Q3"/>
    <mergeCell ref="S3:U3"/>
    <mergeCell ref="V2:V6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7"/>
  <sheetViews>
    <sheetView tabSelected="1" zoomScale="70" zoomScaleNormal="70" workbookViewId="0">
      <selection activeCell="AE19" sqref="AE19"/>
    </sheetView>
  </sheetViews>
  <sheetFormatPr defaultColWidth="9.109375" defaultRowHeight="15.6" x14ac:dyDescent="0.3"/>
  <cols>
    <col min="1" max="1" width="2.88671875" style="1" customWidth="1"/>
    <col min="2" max="2" width="4" style="1" customWidth="1"/>
    <col min="3" max="3" width="20.88671875" style="1" customWidth="1"/>
    <col min="4" max="4" width="11" style="1" customWidth="1"/>
    <col min="5" max="5" width="15.44140625" style="1" customWidth="1"/>
    <col min="6" max="6" width="9" style="1" customWidth="1"/>
    <col min="7" max="8" width="8.109375" style="1" customWidth="1"/>
    <col min="9" max="9" width="9.6640625" style="1" bestFit="1" customWidth="1"/>
    <col min="10" max="10" width="11.109375" style="1" customWidth="1"/>
    <col min="11" max="11" width="9.44140625" style="1" customWidth="1"/>
    <col min="12" max="12" width="9.33203125" style="1" customWidth="1"/>
    <col min="13" max="13" width="9.109375" style="1" customWidth="1"/>
    <col min="14" max="16" width="10.109375" style="1" customWidth="1"/>
    <col min="17" max="18" width="6.77734375" style="1" bestFit="1" customWidth="1"/>
    <col min="19" max="19" width="7.77734375" style="1" customWidth="1"/>
    <col min="20" max="20" width="8.109375" style="1" customWidth="1"/>
    <col min="21" max="21" width="10.109375" style="1" customWidth="1"/>
    <col min="22" max="22" width="6.44140625" style="1" customWidth="1"/>
    <col min="23" max="23" width="6.88671875" style="1" customWidth="1"/>
    <col min="24" max="24" width="9" style="1" customWidth="1"/>
    <col min="25" max="25" width="10.109375" style="1" customWidth="1"/>
    <col min="26" max="26" width="9.6640625" style="1" bestFit="1" customWidth="1"/>
    <col min="27" max="30" width="11" style="1" customWidth="1"/>
    <col min="31" max="16384" width="9.109375" style="1"/>
  </cols>
  <sheetData>
    <row r="1" spans="1:30" ht="9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6.5" customHeight="1" x14ac:dyDescent="0.3">
      <c r="A2" s="21"/>
      <c r="B2" s="127" t="s">
        <v>28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</row>
    <row r="3" spans="1:30" ht="18.75" customHeight="1" x14ac:dyDescent="0.3">
      <c r="A3" s="21"/>
      <c r="B3" s="128" t="s">
        <v>53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</row>
    <row r="4" spans="1:30" ht="12" customHeight="1" x14ac:dyDescent="0.3">
      <c r="A4" s="21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</row>
    <row r="5" spans="1:30" ht="66" customHeight="1" x14ac:dyDescent="0.35">
      <c r="A5" s="21"/>
      <c r="B5" s="129" t="s">
        <v>0</v>
      </c>
      <c r="C5" s="71" t="s">
        <v>1</v>
      </c>
      <c r="D5" s="85" t="s">
        <v>43</v>
      </c>
      <c r="E5" s="85" t="s">
        <v>43</v>
      </c>
      <c r="F5" s="85" t="s">
        <v>43</v>
      </c>
      <c r="G5" s="125" t="s">
        <v>43</v>
      </c>
      <c r="H5" s="126"/>
      <c r="I5" s="86" t="s">
        <v>43</v>
      </c>
      <c r="J5" s="85" t="s">
        <v>38</v>
      </c>
      <c r="K5" s="85" t="s">
        <v>38</v>
      </c>
      <c r="L5" s="85" t="s">
        <v>38</v>
      </c>
      <c r="M5" s="85" t="s">
        <v>38</v>
      </c>
      <c r="N5" s="85" t="s">
        <v>62</v>
      </c>
      <c r="O5" s="85" t="s">
        <v>62</v>
      </c>
      <c r="P5" s="85" t="s">
        <v>62</v>
      </c>
      <c r="Q5" s="85" t="s">
        <v>63</v>
      </c>
      <c r="R5" s="85" t="s">
        <v>63</v>
      </c>
      <c r="S5" s="85" t="s">
        <v>63</v>
      </c>
      <c r="T5" s="85" t="s">
        <v>47</v>
      </c>
      <c r="U5" s="85" t="s">
        <v>47</v>
      </c>
      <c r="V5" s="125" t="s">
        <v>65</v>
      </c>
      <c r="W5" s="126"/>
      <c r="X5" s="87" t="s">
        <v>65</v>
      </c>
      <c r="Y5" s="87" t="s">
        <v>65</v>
      </c>
      <c r="Z5" s="87" t="s">
        <v>43</v>
      </c>
      <c r="AA5" s="72" t="s">
        <v>70</v>
      </c>
      <c r="AB5" s="73"/>
      <c r="AC5" s="73"/>
      <c r="AD5" s="73"/>
    </row>
    <row r="6" spans="1:30" ht="18" x14ac:dyDescent="0.35">
      <c r="A6" s="21"/>
      <c r="B6" s="129"/>
      <c r="C6" s="71" t="s">
        <v>3</v>
      </c>
      <c r="D6" s="85">
        <v>7</v>
      </c>
      <c r="E6" s="85">
        <v>7</v>
      </c>
      <c r="F6" s="85">
        <v>7</v>
      </c>
      <c r="G6" s="88">
        <v>7</v>
      </c>
      <c r="H6" s="88">
        <v>8</v>
      </c>
      <c r="I6" s="88">
        <v>8</v>
      </c>
      <c r="J6" s="85">
        <v>5</v>
      </c>
      <c r="K6" s="85">
        <v>6</v>
      </c>
      <c r="L6" s="85">
        <v>6</v>
      </c>
      <c r="M6" s="85">
        <v>6</v>
      </c>
      <c r="N6" s="85">
        <v>4</v>
      </c>
      <c r="O6" s="85">
        <v>4</v>
      </c>
      <c r="P6" s="85">
        <v>4</v>
      </c>
      <c r="Q6" s="85">
        <v>4</v>
      </c>
      <c r="R6" s="85">
        <v>4</v>
      </c>
      <c r="S6" s="85">
        <v>4</v>
      </c>
      <c r="T6" s="85">
        <v>2</v>
      </c>
      <c r="U6" s="85">
        <v>2</v>
      </c>
      <c r="V6" s="89">
        <v>3</v>
      </c>
      <c r="W6" s="89">
        <v>4</v>
      </c>
      <c r="X6" s="89">
        <v>4</v>
      </c>
      <c r="Y6" s="89">
        <v>4</v>
      </c>
      <c r="Z6" s="89">
        <v>8</v>
      </c>
      <c r="AA6" s="72"/>
      <c r="AB6" s="73"/>
      <c r="AC6" s="73"/>
      <c r="AD6" s="73"/>
    </row>
    <row r="7" spans="1:30" ht="18" x14ac:dyDescent="0.35">
      <c r="A7" s="21"/>
      <c r="B7" s="129"/>
      <c r="C7" s="71" t="s">
        <v>4</v>
      </c>
      <c r="D7" s="85"/>
      <c r="E7" s="85"/>
      <c r="F7" s="85"/>
      <c r="G7" s="88"/>
      <c r="H7" s="88"/>
      <c r="I7" s="88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9"/>
      <c r="W7" s="89"/>
      <c r="X7" s="89"/>
      <c r="Y7" s="89"/>
      <c r="Z7" s="89"/>
      <c r="AA7" s="72"/>
      <c r="AB7" s="73"/>
      <c r="AC7" s="73"/>
      <c r="AD7" s="73"/>
    </row>
    <row r="8" spans="1:30" ht="94.5" customHeight="1" x14ac:dyDescent="0.35">
      <c r="A8" s="21"/>
      <c r="B8" s="129"/>
      <c r="C8" s="71" t="s">
        <v>5</v>
      </c>
      <c r="D8" s="85" t="s">
        <v>31</v>
      </c>
      <c r="E8" s="85" t="s">
        <v>29</v>
      </c>
      <c r="F8" s="85" t="s">
        <v>32</v>
      </c>
      <c r="G8" s="125" t="s">
        <v>44</v>
      </c>
      <c r="H8" s="126"/>
      <c r="I8" s="86" t="s">
        <v>41</v>
      </c>
      <c r="J8" s="85" t="s">
        <v>105</v>
      </c>
      <c r="K8" s="85" t="s">
        <v>35</v>
      </c>
      <c r="L8" s="85" t="s">
        <v>27</v>
      </c>
      <c r="M8" s="85" t="s">
        <v>42</v>
      </c>
      <c r="N8" s="85" t="s">
        <v>29</v>
      </c>
      <c r="O8" s="85" t="s">
        <v>51</v>
      </c>
      <c r="P8" s="85" t="s">
        <v>109</v>
      </c>
      <c r="Q8" s="85" t="s">
        <v>29</v>
      </c>
      <c r="R8" s="85" t="s">
        <v>51</v>
      </c>
      <c r="S8" s="85" t="s">
        <v>109</v>
      </c>
      <c r="T8" s="85" t="s">
        <v>40</v>
      </c>
      <c r="U8" s="85" t="s">
        <v>33</v>
      </c>
      <c r="V8" s="125" t="s">
        <v>48</v>
      </c>
      <c r="W8" s="126"/>
      <c r="X8" s="87" t="s">
        <v>35</v>
      </c>
      <c r="Y8" s="87" t="s">
        <v>42</v>
      </c>
      <c r="Z8" s="90" t="s">
        <v>107</v>
      </c>
      <c r="AA8" s="72"/>
      <c r="AB8" s="73"/>
      <c r="AC8" s="73"/>
      <c r="AD8" s="73"/>
    </row>
    <row r="9" spans="1:30" ht="36" x14ac:dyDescent="0.35">
      <c r="A9" s="21"/>
      <c r="B9" s="74">
        <v>1</v>
      </c>
      <c r="C9" s="75" t="s">
        <v>6</v>
      </c>
      <c r="D9" s="85"/>
      <c r="E9" s="85">
        <v>52</v>
      </c>
      <c r="F9" s="88"/>
      <c r="G9" s="88">
        <v>32</v>
      </c>
      <c r="H9" s="88">
        <v>56</v>
      </c>
      <c r="I9" s="88"/>
      <c r="J9" s="85">
        <v>60</v>
      </c>
      <c r="K9" s="85"/>
      <c r="L9" s="85">
        <v>94</v>
      </c>
      <c r="M9" s="85"/>
      <c r="N9" s="85">
        <v>56</v>
      </c>
      <c r="O9" s="85">
        <v>108</v>
      </c>
      <c r="P9" s="85"/>
      <c r="Q9" s="85">
        <v>56</v>
      </c>
      <c r="R9" s="85">
        <v>108</v>
      </c>
      <c r="S9" s="85"/>
      <c r="T9" s="85">
        <v>56</v>
      </c>
      <c r="U9" s="85">
        <v>56</v>
      </c>
      <c r="V9" s="89">
        <v>36</v>
      </c>
      <c r="W9" s="89">
        <v>46</v>
      </c>
      <c r="X9" s="89"/>
      <c r="Y9" s="89"/>
      <c r="Z9" s="89"/>
      <c r="AA9" s="72">
        <f>SUM(D9:Z9)</f>
        <v>816</v>
      </c>
      <c r="AB9" s="73"/>
      <c r="AC9" s="73"/>
      <c r="AD9" s="73"/>
    </row>
    <row r="10" spans="1:30" ht="54" x14ac:dyDescent="0.35">
      <c r="A10" s="21"/>
      <c r="B10" s="74">
        <v>2</v>
      </c>
      <c r="C10" s="75" t="s">
        <v>7</v>
      </c>
      <c r="D10" s="85"/>
      <c r="E10" s="85">
        <v>30</v>
      </c>
      <c r="F10" s="88"/>
      <c r="G10" s="88"/>
      <c r="H10" s="88"/>
      <c r="I10" s="88"/>
      <c r="J10" s="85"/>
      <c r="K10" s="85"/>
      <c r="L10" s="85">
        <v>68</v>
      </c>
      <c r="M10" s="85"/>
      <c r="N10" s="85"/>
      <c r="O10" s="85"/>
      <c r="P10" s="85"/>
      <c r="Q10" s="85"/>
      <c r="R10" s="85"/>
      <c r="S10" s="85"/>
      <c r="T10" s="85">
        <v>18</v>
      </c>
      <c r="U10" s="85">
        <v>18</v>
      </c>
      <c r="V10" s="89"/>
      <c r="W10" s="89">
        <v>46</v>
      </c>
      <c r="X10" s="89"/>
      <c r="Y10" s="89"/>
      <c r="Z10" s="89"/>
      <c r="AA10" s="72">
        <f>SUM(D10:Z10)</f>
        <v>180</v>
      </c>
      <c r="AB10" s="73"/>
      <c r="AC10" s="73"/>
      <c r="AD10" s="73"/>
    </row>
    <row r="11" spans="1:30" ht="18" x14ac:dyDescent="0.35">
      <c r="A11" s="21"/>
      <c r="B11" s="74">
        <v>3</v>
      </c>
      <c r="C11" s="75" t="s">
        <v>8</v>
      </c>
      <c r="D11" s="85"/>
      <c r="E11" s="85">
        <v>5</v>
      </c>
      <c r="F11" s="88"/>
      <c r="G11" s="88"/>
      <c r="H11" s="88">
        <v>5</v>
      </c>
      <c r="I11" s="88"/>
      <c r="J11" s="85">
        <v>5</v>
      </c>
      <c r="K11" s="85"/>
      <c r="L11" s="85"/>
      <c r="M11" s="85"/>
      <c r="N11" s="85">
        <v>2</v>
      </c>
      <c r="O11" s="85">
        <v>2</v>
      </c>
      <c r="P11" s="85"/>
      <c r="Q11" s="85">
        <v>2</v>
      </c>
      <c r="R11" s="85">
        <v>2</v>
      </c>
      <c r="S11" s="85"/>
      <c r="T11" s="85">
        <v>2</v>
      </c>
      <c r="U11" s="85">
        <v>2</v>
      </c>
      <c r="V11" s="89"/>
      <c r="W11" s="89">
        <v>2</v>
      </c>
      <c r="X11" s="89"/>
      <c r="Y11" s="89"/>
      <c r="Z11" s="89"/>
      <c r="AA11" s="72">
        <f>SUM(D11:Z11)</f>
        <v>29</v>
      </c>
      <c r="AB11" s="73"/>
      <c r="AC11" s="73"/>
      <c r="AD11" s="73"/>
    </row>
    <row r="12" spans="1:30" ht="18" x14ac:dyDescent="0.35">
      <c r="A12" s="21"/>
      <c r="B12" s="74">
        <v>4</v>
      </c>
      <c r="C12" s="75" t="s">
        <v>9</v>
      </c>
      <c r="D12" s="85"/>
      <c r="E12" s="85"/>
      <c r="F12" s="88"/>
      <c r="G12" s="88"/>
      <c r="H12" s="88"/>
      <c r="I12" s="88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9"/>
      <c r="W12" s="89"/>
      <c r="X12" s="89"/>
      <c r="Y12" s="89"/>
      <c r="Z12" s="89"/>
      <c r="AA12" s="72"/>
      <c r="AB12" s="73"/>
      <c r="AC12" s="73"/>
      <c r="AD12" s="73"/>
    </row>
    <row r="13" spans="1:30" ht="18" x14ac:dyDescent="0.35">
      <c r="A13" s="21"/>
      <c r="B13" s="74">
        <v>5</v>
      </c>
      <c r="C13" s="75" t="s">
        <v>10</v>
      </c>
      <c r="D13" s="85">
        <v>24</v>
      </c>
      <c r="E13" s="85"/>
      <c r="F13" s="88">
        <v>24</v>
      </c>
      <c r="G13" s="88"/>
      <c r="H13" s="88"/>
      <c r="I13" s="88">
        <v>24</v>
      </c>
      <c r="J13" s="85"/>
      <c r="K13" s="85">
        <v>24</v>
      </c>
      <c r="L13" s="85"/>
      <c r="M13" s="85">
        <v>24</v>
      </c>
      <c r="N13" s="85"/>
      <c r="O13" s="85"/>
      <c r="P13" s="85">
        <v>36</v>
      </c>
      <c r="Q13" s="85"/>
      <c r="R13" s="85"/>
      <c r="S13" s="85">
        <v>36</v>
      </c>
      <c r="T13" s="85"/>
      <c r="U13" s="85"/>
      <c r="V13" s="89"/>
      <c r="W13" s="89"/>
      <c r="X13" s="89">
        <v>30</v>
      </c>
      <c r="Y13" s="89">
        <v>30</v>
      </c>
      <c r="Z13" s="89">
        <v>42</v>
      </c>
      <c r="AA13" s="72">
        <f>SUM(D13:Z13)</f>
        <v>294</v>
      </c>
      <c r="AB13" s="73"/>
      <c r="AC13" s="73"/>
      <c r="AD13" s="73"/>
    </row>
    <row r="14" spans="1:30" ht="36" x14ac:dyDescent="0.35">
      <c r="A14" s="21"/>
      <c r="B14" s="74">
        <v>6</v>
      </c>
      <c r="C14" s="75" t="s">
        <v>11</v>
      </c>
      <c r="D14" s="85"/>
      <c r="E14" s="85">
        <v>24</v>
      </c>
      <c r="F14" s="88"/>
      <c r="G14" s="88"/>
      <c r="H14" s="88"/>
      <c r="I14" s="88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9"/>
      <c r="W14" s="89"/>
      <c r="X14" s="89"/>
      <c r="Y14" s="89"/>
      <c r="Z14" s="89"/>
      <c r="AA14" s="72">
        <f>SUM(D14:Z14)</f>
        <v>24</v>
      </c>
      <c r="AB14" s="73"/>
      <c r="AC14" s="73"/>
      <c r="AD14" s="73"/>
    </row>
    <row r="15" spans="1:30" ht="30" customHeight="1" x14ac:dyDescent="0.35">
      <c r="A15" s="21"/>
      <c r="B15" s="74">
        <v>7</v>
      </c>
      <c r="C15" s="75" t="s">
        <v>12</v>
      </c>
      <c r="D15" s="85"/>
      <c r="E15" s="85"/>
      <c r="F15" s="88"/>
      <c r="G15" s="88"/>
      <c r="H15" s="88"/>
      <c r="I15" s="88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9"/>
      <c r="W15" s="89"/>
      <c r="X15" s="89"/>
      <c r="Y15" s="89"/>
      <c r="Z15" s="89"/>
      <c r="AA15" s="72"/>
      <c r="AB15" s="73"/>
      <c r="AC15" s="73"/>
      <c r="AD15" s="73"/>
    </row>
    <row r="16" spans="1:30" ht="36" x14ac:dyDescent="0.35">
      <c r="A16" s="21"/>
      <c r="B16" s="74">
        <v>8</v>
      </c>
      <c r="C16" s="75" t="s">
        <v>13</v>
      </c>
      <c r="D16" s="85"/>
      <c r="E16" s="85"/>
      <c r="F16" s="88"/>
      <c r="G16" s="88"/>
      <c r="H16" s="88"/>
      <c r="I16" s="88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9"/>
      <c r="W16" s="89"/>
      <c r="X16" s="89"/>
      <c r="Y16" s="89"/>
      <c r="Z16" s="89"/>
      <c r="AA16" s="72"/>
      <c r="AB16" s="73"/>
      <c r="AC16" s="73"/>
      <c r="AD16" s="73"/>
    </row>
    <row r="17" spans="1:31" ht="18" x14ac:dyDescent="0.35">
      <c r="A17" s="21"/>
      <c r="B17" s="74">
        <v>9</v>
      </c>
      <c r="C17" s="75" t="s">
        <v>14</v>
      </c>
      <c r="D17" s="85">
        <v>8</v>
      </c>
      <c r="E17" s="85">
        <v>8</v>
      </c>
      <c r="F17" s="88"/>
      <c r="G17" s="88"/>
      <c r="H17" s="88">
        <v>8</v>
      </c>
      <c r="I17" s="88"/>
      <c r="J17" s="85"/>
      <c r="K17" s="85">
        <v>8</v>
      </c>
      <c r="L17" s="85"/>
      <c r="M17" s="85"/>
      <c r="N17" s="85">
        <v>8</v>
      </c>
      <c r="O17" s="85"/>
      <c r="P17" s="85"/>
      <c r="Q17" s="85">
        <v>8</v>
      </c>
      <c r="R17" s="85"/>
      <c r="S17" s="85"/>
      <c r="T17" s="85"/>
      <c r="U17" s="85">
        <v>8</v>
      </c>
      <c r="V17" s="89"/>
      <c r="W17" s="89">
        <v>8</v>
      </c>
      <c r="X17" s="89"/>
      <c r="Y17" s="89"/>
      <c r="Z17" s="89"/>
      <c r="AA17" s="72">
        <f>SUM(D17:Z17)</f>
        <v>64</v>
      </c>
      <c r="AB17" s="73"/>
      <c r="AC17" s="73"/>
      <c r="AD17" s="73"/>
    </row>
    <row r="18" spans="1:31" ht="50.25" customHeight="1" x14ac:dyDescent="0.35">
      <c r="A18" s="23"/>
      <c r="B18" s="130" t="s">
        <v>15</v>
      </c>
      <c r="C18" s="130"/>
      <c r="D18" s="85">
        <f t="shared" ref="D18:O18" si="0">SUM(D9:D17)</f>
        <v>32</v>
      </c>
      <c r="E18" s="85">
        <f t="shared" si="0"/>
        <v>119</v>
      </c>
      <c r="F18" s="91">
        <f t="shared" si="0"/>
        <v>24</v>
      </c>
      <c r="G18" s="91">
        <f t="shared" si="0"/>
        <v>32</v>
      </c>
      <c r="H18" s="91">
        <f t="shared" si="0"/>
        <v>69</v>
      </c>
      <c r="I18" s="91">
        <f t="shared" si="0"/>
        <v>24</v>
      </c>
      <c r="J18" s="85">
        <f t="shared" si="0"/>
        <v>65</v>
      </c>
      <c r="K18" s="85">
        <f t="shared" si="0"/>
        <v>32</v>
      </c>
      <c r="L18" s="85">
        <f t="shared" si="0"/>
        <v>162</v>
      </c>
      <c r="M18" s="85">
        <f t="shared" si="0"/>
        <v>24</v>
      </c>
      <c r="N18" s="85">
        <f t="shared" si="0"/>
        <v>66</v>
      </c>
      <c r="O18" s="85">
        <f t="shared" si="0"/>
        <v>110</v>
      </c>
      <c r="P18" s="85">
        <f>SUM(P13:P17)</f>
        <v>36</v>
      </c>
      <c r="Q18" s="85">
        <f t="shared" ref="Q18:W18" si="1">SUM(Q9:Q17)</f>
        <v>66</v>
      </c>
      <c r="R18" s="85">
        <f t="shared" si="1"/>
        <v>110</v>
      </c>
      <c r="S18" s="85">
        <f>SUM(S13:S17)</f>
        <v>36</v>
      </c>
      <c r="T18" s="85">
        <f t="shared" si="1"/>
        <v>76</v>
      </c>
      <c r="U18" s="85">
        <f t="shared" si="1"/>
        <v>84</v>
      </c>
      <c r="V18" s="85">
        <f t="shared" si="1"/>
        <v>36</v>
      </c>
      <c r="W18" s="85">
        <f t="shared" si="1"/>
        <v>102</v>
      </c>
      <c r="X18" s="87">
        <f>SUM(X13:X17)</f>
        <v>30</v>
      </c>
      <c r="Y18" s="87">
        <f>SUM(Y13:Y17)</f>
        <v>30</v>
      </c>
      <c r="Z18" s="87">
        <f>SUM(Z9:Z17)</f>
        <v>42</v>
      </c>
      <c r="AA18" s="72">
        <f>SUM(D18:Z18)</f>
        <v>1407</v>
      </c>
      <c r="AB18" s="73"/>
      <c r="AC18" s="73">
        <f>E18+G18+J18+V18</f>
        <v>252</v>
      </c>
      <c r="AD18" s="73"/>
      <c r="AE18" s="1">
        <f>H18+L18+N18+O18+P18+Q18+R18+S18+T18+U18+W18+Z18</f>
        <v>959</v>
      </c>
    </row>
    <row r="19" spans="1:31" ht="18" x14ac:dyDescent="0.3">
      <c r="A19" s="21"/>
      <c r="B19" s="76"/>
      <c r="C19" s="77" t="s">
        <v>16</v>
      </c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</row>
    <row r="20" spans="1:31" ht="18" x14ac:dyDescent="0.3">
      <c r="A20" s="21"/>
      <c r="B20" s="76"/>
      <c r="C20" s="123" t="s">
        <v>17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</row>
    <row r="21" spans="1:31" ht="18" x14ac:dyDescent="0.3">
      <c r="A21" s="21"/>
      <c r="B21" s="76"/>
      <c r="C21" s="123" t="s">
        <v>18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</row>
    <row r="22" spans="1:31" ht="18" x14ac:dyDescent="0.3">
      <c r="A22" s="21"/>
      <c r="B22" s="76"/>
      <c r="C22" s="123" t="s">
        <v>19</v>
      </c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</row>
    <row r="23" spans="1:31" ht="18" x14ac:dyDescent="0.3">
      <c r="A23" s="21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</row>
    <row r="24" spans="1:31" ht="18" x14ac:dyDescent="0.3">
      <c r="A24" s="21"/>
      <c r="B24" s="78"/>
      <c r="C24" s="124" t="s">
        <v>21</v>
      </c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</row>
    <row r="25" spans="1:31" ht="18" x14ac:dyDescent="0.35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</row>
    <row r="26" spans="1:31" ht="18" x14ac:dyDescent="0.35"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</row>
    <row r="27" spans="1:31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30" spans="1:31" ht="14.25" customHeight="1" x14ac:dyDescent="0.3"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</row>
    <row r="31" spans="1:31" x14ac:dyDescent="0.3"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</row>
    <row r="32" spans="1:31" x14ac:dyDescent="0.3"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49" spans="6:30" x14ac:dyDescent="0.3"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6:30" x14ac:dyDescent="0.3"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</row>
    <row r="51" spans="6:30" x14ac:dyDescent="0.3"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</row>
    <row r="52" spans="6:30" x14ac:dyDescent="0.3"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</row>
    <row r="53" spans="6:30" x14ac:dyDescent="0.3"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6:30" x14ac:dyDescent="0.3"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spans="6:30" x14ac:dyDescent="0.3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6:30" x14ac:dyDescent="0.3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6:30" x14ac:dyDescent="0.3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</sheetData>
  <mergeCells count="18">
    <mergeCell ref="B2:AD2"/>
    <mergeCell ref="B3:AD3"/>
    <mergeCell ref="B5:B8"/>
    <mergeCell ref="B18:C18"/>
    <mergeCell ref="C20:AD20"/>
    <mergeCell ref="C21:AD21"/>
    <mergeCell ref="G5:H5"/>
    <mergeCell ref="G8:H8"/>
    <mergeCell ref="V5:W5"/>
    <mergeCell ref="V8:W8"/>
    <mergeCell ref="C22:AD22"/>
    <mergeCell ref="F51:AD51"/>
    <mergeCell ref="F52:AD52"/>
    <mergeCell ref="F54:AD54"/>
    <mergeCell ref="C24:AD24"/>
    <mergeCell ref="F30:AD30"/>
    <mergeCell ref="F31:AD31"/>
    <mergeCell ref="F50:AD50"/>
  </mergeCells>
  <phoneticPr fontId="6" type="noConversion"/>
  <pageMargins left="0.7" right="0.7" top="0.75" bottom="0.75" header="0.3" footer="0.3"/>
  <pageSetup paperSize="9" scale="4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8"/>
  <sheetViews>
    <sheetView zoomScale="70" zoomScaleNormal="70" workbookViewId="0">
      <selection activeCell="Z17" sqref="Z17"/>
    </sheetView>
  </sheetViews>
  <sheetFormatPr defaultColWidth="9.109375" defaultRowHeight="14.4" x14ac:dyDescent="0.3"/>
  <cols>
    <col min="1" max="1" width="2.88671875" style="20" customWidth="1"/>
    <col min="2" max="2" width="4" style="20" customWidth="1"/>
    <col min="3" max="3" width="20.88671875" style="20" customWidth="1"/>
    <col min="4" max="4" width="14.33203125" style="20" customWidth="1"/>
    <col min="5" max="5" width="9.88671875" style="20" customWidth="1"/>
    <col min="6" max="6" width="10" style="20" customWidth="1"/>
    <col min="7" max="7" width="13.33203125" style="20" customWidth="1"/>
    <col min="8" max="8" width="11" style="20" customWidth="1"/>
    <col min="9" max="9" width="9" style="20" customWidth="1"/>
    <col min="10" max="10" width="11" style="20" customWidth="1"/>
    <col min="11" max="11" width="9.109375" style="20" customWidth="1"/>
    <col min="12" max="12" width="9" style="20" customWidth="1"/>
    <col min="13" max="29" width="11" style="20" customWidth="1"/>
    <col min="30" max="16384" width="9.109375" style="20"/>
  </cols>
  <sheetData>
    <row r="1" spans="1:29" ht="9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6.5" customHeight="1" x14ac:dyDescent="0.3">
      <c r="A2" s="21"/>
      <c r="B2" s="105" t="s">
        <v>30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1:29" ht="18.75" customHeight="1" x14ac:dyDescent="0.3">
      <c r="A3" s="21"/>
      <c r="B3" s="106" t="s">
        <v>53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</row>
    <row r="4" spans="1:29" ht="12" customHeight="1" x14ac:dyDescent="0.3">
      <c r="A4" s="2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66" customHeight="1" x14ac:dyDescent="0.3">
      <c r="A5" s="21"/>
      <c r="B5" s="135" t="s">
        <v>0</v>
      </c>
      <c r="C5" s="5" t="s">
        <v>1</v>
      </c>
      <c r="D5" s="97" t="s">
        <v>43</v>
      </c>
      <c r="E5" s="97" t="s">
        <v>65</v>
      </c>
      <c r="F5" s="97" t="s">
        <v>43</v>
      </c>
      <c r="G5" s="92" t="s">
        <v>38</v>
      </c>
      <c r="H5" s="101" t="s">
        <v>38</v>
      </c>
      <c r="I5" s="102"/>
      <c r="J5" s="101" t="s">
        <v>38</v>
      </c>
      <c r="K5" s="102"/>
      <c r="L5" s="92" t="s">
        <v>38</v>
      </c>
      <c r="M5" s="92" t="s">
        <v>38</v>
      </c>
      <c r="N5" s="101" t="s">
        <v>34</v>
      </c>
      <c r="O5" s="102"/>
      <c r="P5" s="101" t="s">
        <v>34</v>
      </c>
      <c r="Q5" s="102"/>
      <c r="R5" s="93" t="s">
        <v>47</v>
      </c>
      <c r="S5" s="92" t="s">
        <v>62</v>
      </c>
      <c r="T5" s="92" t="s">
        <v>63</v>
      </c>
      <c r="U5" s="8" t="s">
        <v>62</v>
      </c>
      <c r="V5" s="8" t="s">
        <v>63</v>
      </c>
      <c r="W5" s="44" t="s">
        <v>70</v>
      </c>
      <c r="X5" s="41"/>
    </row>
    <row r="6" spans="1:29" ht="15.6" x14ac:dyDescent="0.3">
      <c r="A6" s="21"/>
      <c r="B6" s="136"/>
      <c r="C6" s="5" t="s">
        <v>3</v>
      </c>
      <c r="D6" s="94">
        <v>7</v>
      </c>
      <c r="E6" s="94">
        <v>4</v>
      </c>
      <c r="F6" s="94">
        <v>8</v>
      </c>
      <c r="G6" s="92">
        <v>5</v>
      </c>
      <c r="H6" s="92">
        <v>5</v>
      </c>
      <c r="I6" s="92">
        <v>6</v>
      </c>
      <c r="J6" s="92">
        <v>5</v>
      </c>
      <c r="K6" s="92">
        <v>6</v>
      </c>
      <c r="L6" s="92">
        <v>6</v>
      </c>
      <c r="M6" s="92">
        <v>6</v>
      </c>
      <c r="N6" s="92">
        <v>5</v>
      </c>
      <c r="O6" s="92">
        <v>6</v>
      </c>
      <c r="P6" s="92">
        <v>5</v>
      </c>
      <c r="Q6" s="92">
        <v>6</v>
      </c>
      <c r="R6" s="92">
        <v>2</v>
      </c>
      <c r="S6" s="92">
        <v>3</v>
      </c>
      <c r="T6" s="92">
        <v>3</v>
      </c>
      <c r="U6" s="8">
        <v>4</v>
      </c>
      <c r="V6" s="8">
        <v>4</v>
      </c>
      <c r="W6" s="46"/>
      <c r="X6" s="41"/>
    </row>
    <row r="7" spans="1:29" ht="15.6" x14ac:dyDescent="0.3">
      <c r="A7" s="21"/>
      <c r="B7" s="136"/>
      <c r="C7" s="5" t="s">
        <v>4</v>
      </c>
      <c r="D7" s="95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8"/>
      <c r="V7" s="8"/>
      <c r="W7" s="46"/>
      <c r="X7" s="41"/>
    </row>
    <row r="8" spans="1:29" ht="94.5" customHeight="1" x14ac:dyDescent="0.3">
      <c r="A8" s="21"/>
      <c r="B8" s="137"/>
      <c r="C8" s="5" t="s">
        <v>5</v>
      </c>
      <c r="D8" s="93" t="s">
        <v>27</v>
      </c>
      <c r="E8" s="92" t="s">
        <v>23</v>
      </c>
      <c r="F8" s="92" t="s">
        <v>106</v>
      </c>
      <c r="G8" s="92" t="s">
        <v>45</v>
      </c>
      <c r="H8" s="101" t="s">
        <v>33</v>
      </c>
      <c r="I8" s="102"/>
      <c r="J8" s="101" t="s">
        <v>61</v>
      </c>
      <c r="K8" s="102"/>
      <c r="L8" s="92" t="s">
        <v>26</v>
      </c>
      <c r="M8" s="92" t="s">
        <v>39</v>
      </c>
      <c r="N8" s="101" t="s">
        <v>50</v>
      </c>
      <c r="O8" s="102"/>
      <c r="P8" s="101" t="s">
        <v>46</v>
      </c>
      <c r="Q8" s="102"/>
      <c r="R8" s="93" t="s">
        <v>23</v>
      </c>
      <c r="S8" s="92" t="s">
        <v>26</v>
      </c>
      <c r="T8" s="92" t="s">
        <v>26</v>
      </c>
      <c r="U8" s="8" t="s">
        <v>108</v>
      </c>
      <c r="V8" s="8" t="s">
        <v>108</v>
      </c>
      <c r="W8" s="46"/>
      <c r="X8" s="41"/>
    </row>
    <row r="9" spans="1:29" ht="15.6" x14ac:dyDescent="0.3">
      <c r="A9" s="21"/>
      <c r="B9" s="8">
        <v>1</v>
      </c>
      <c r="C9" s="9" t="s">
        <v>6</v>
      </c>
      <c r="D9" s="92">
        <v>76</v>
      </c>
      <c r="E9" s="92"/>
      <c r="F9" s="94"/>
      <c r="G9" s="92">
        <v>76</v>
      </c>
      <c r="H9" s="92">
        <v>88</v>
      </c>
      <c r="I9" s="92">
        <v>104</v>
      </c>
      <c r="J9" s="92"/>
      <c r="K9" s="92"/>
      <c r="L9" s="95"/>
      <c r="M9" s="92">
        <v>63</v>
      </c>
      <c r="N9" s="92">
        <v>72</v>
      </c>
      <c r="O9" s="92">
        <v>36</v>
      </c>
      <c r="P9" s="92">
        <v>21</v>
      </c>
      <c r="Q9" s="92">
        <v>15</v>
      </c>
      <c r="R9" s="92"/>
      <c r="S9" s="92"/>
      <c r="T9" s="92"/>
      <c r="U9" s="8"/>
      <c r="V9" s="8"/>
      <c r="W9" s="46">
        <f>SUM(D9:V9)</f>
        <v>551</v>
      </c>
      <c r="X9" s="41"/>
    </row>
    <row r="10" spans="1:29" ht="31.2" x14ac:dyDescent="0.3">
      <c r="A10" s="21"/>
      <c r="B10" s="8">
        <v>2</v>
      </c>
      <c r="C10" s="9" t="s">
        <v>7</v>
      </c>
      <c r="D10" s="92">
        <v>30</v>
      </c>
      <c r="E10" s="92">
        <v>36</v>
      </c>
      <c r="F10" s="94"/>
      <c r="G10" s="92">
        <v>24</v>
      </c>
      <c r="H10" s="92"/>
      <c r="I10" s="92">
        <v>30</v>
      </c>
      <c r="J10" s="92"/>
      <c r="K10" s="92"/>
      <c r="L10" s="95"/>
      <c r="M10" s="92"/>
      <c r="N10" s="92"/>
      <c r="O10" s="92"/>
      <c r="P10" s="92"/>
      <c r="Q10" s="92"/>
      <c r="R10" s="92"/>
      <c r="S10" s="92"/>
      <c r="T10" s="92"/>
      <c r="U10" s="8"/>
      <c r="V10" s="8"/>
      <c r="W10" s="46">
        <f>SUM(D10:V10)</f>
        <v>120</v>
      </c>
      <c r="X10" s="41"/>
    </row>
    <row r="11" spans="1:29" ht="15.6" x14ac:dyDescent="0.3">
      <c r="A11" s="21"/>
      <c r="B11" s="8">
        <v>3</v>
      </c>
      <c r="C11" s="9" t="s">
        <v>8</v>
      </c>
      <c r="D11" s="92">
        <v>10</v>
      </c>
      <c r="E11" s="92"/>
      <c r="F11" s="94"/>
      <c r="G11" s="92">
        <v>2</v>
      </c>
      <c r="H11" s="92">
        <v>3</v>
      </c>
      <c r="I11" s="92">
        <v>5</v>
      </c>
      <c r="J11" s="92"/>
      <c r="K11" s="92"/>
      <c r="L11" s="95"/>
      <c r="M11" s="92"/>
      <c r="N11" s="92"/>
      <c r="O11" s="92">
        <v>5</v>
      </c>
      <c r="P11" s="92"/>
      <c r="Q11" s="92"/>
      <c r="R11" s="92"/>
      <c r="S11" s="92"/>
      <c r="T11" s="92"/>
      <c r="U11" s="8"/>
      <c r="V11" s="8"/>
      <c r="W11" s="46">
        <f>SUM(D11:V11)</f>
        <v>25</v>
      </c>
      <c r="X11" s="41"/>
    </row>
    <row r="12" spans="1:29" ht="15.6" x14ac:dyDescent="0.3">
      <c r="A12" s="21"/>
      <c r="B12" s="8">
        <v>4</v>
      </c>
      <c r="C12" s="9" t="s">
        <v>9</v>
      </c>
      <c r="D12" s="92"/>
      <c r="E12" s="92"/>
      <c r="F12" s="94"/>
      <c r="G12" s="92"/>
      <c r="H12" s="92"/>
      <c r="I12" s="92"/>
      <c r="J12" s="92"/>
      <c r="K12" s="92"/>
      <c r="L12" s="95"/>
      <c r="M12" s="92"/>
      <c r="N12" s="92"/>
      <c r="O12" s="92"/>
      <c r="P12" s="92"/>
      <c r="Q12" s="92"/>
      <c r="R12" s="92"/>
      <c r="S12" s="92"/>
      <c r="T12" s="92"/>
      <c r="U12" s="8"/>
      <c r="V12" s="8"/>
      <c r="W12" s="46"/>
      <c r="X12" s="41"/>
    </row>
    <row r="13" spans="1:29" ht="15.6" x14ac:dyDescent="0.3">
      <c r="A13" s="21"/>
      <c r="B13" s="8">
        <v>5</v>
      </c>
      <c r="C13" s="9" t="s">
        <v>10</v>
      </c>
      <c r="D13" s="92"/>
      <c r="E13" s="92">
        <v>36</v>
      </c>
      <c r="F13" s="94">
        <v>42</v>
      </c>
      <c r="G13" s="92"/>
      <c r="H13" s="92"/>
      <c r="I13" s="92"/>
      <c r="J13" s="92">
        <v>36</v>
      </c>
      <c r="K13" s="92">
        <v>72</v>
      </c>
      <c r="L13" s="92">
        <v>72</v>
      </c>
      <c r="M13" s="92"/>
      <c r="N13" s="92"/>
      <c r="O13" s="92"/>
      <c r="P13" s="92"/>
      <c r="Q13" s="92"/>
      <c r="R13" s="92">
        <v>72</v>
      </c>
      <c r="S13" s="92">
        <v>72</v>
      </c>
      <c r="T13" s="92">
        <v>72</v>
      </c>
      <c r="U13" s="8">
        <v>36</v>
      </c>
      <c r="V13" s="8">
        <v>36</v>
      </c>
      <c r="W13" s="46">
        <f>SUM(D13:V13)</f>
        <v>546</v>
      </c>
      <c r="X13" s="41"/>
    </row>
    <row r="14" spans="1:29" ht="31.2" x14ac:dyDescent="0.3">
      <c r="A14" s="21"/>
      <c r="B14" s="8">
        <v>6</v>
      </c>
      <c r="C14" s="9" t="s">
        <v>11</v>
      </c>
      <c r="D14" s="92">
        <v>24</v>
      </c>
      <c r="E14" s="92"/>
      <c r="F14" s="94"/>
      <c r="G14" s="92"/>
      <c r="H14" s="92"/>
      <c r="I14" s="92">
        <v>24</v>
      </c>
      <c r="J14" s="92"/>
      <c r="K14" s="92"/>
      <c r="L14" s="95"/>
      <c r="M14" s="92"/>
      <c r="N14" s="92"/>
      <c r="O14" s="92"/>
      <c r="P14" s="92"/>
      <c r="Q14" s="92"/>
      <c r="R14" s="92"/>
      <c r="S14" s="92"/>
      <c r="T14" s="92"/>
      <c r="U14" s="8"/>
      <c r="V14" s="8"/>
      <c r="W14" s="46">
        <f>SUM(D14:V14)</f>
        <v>48</v>
      </c>
      <c r="X14" s="41"/>
    </row>
    <row r="15" spans="1:29" ht="30" customHeight="1" x14ac:dyDescent="0.3">
      <c r="A15" s="21"/>
      <c r="B15" s="8">
        <v>7</v>
      </c>
      <c r="C15" s="9" t="s">
        <v>12</v>
      </c>
      <c r="D15" s="92"/>
      <c r="E15" s="92"/>
      <c r="F15" s="94"/>
      <c r="G15" s="92"/>
      <c r="H15" s="92"/>
      <c r="I15" s="92"/>
      <c r="J15" s="92"/>
      <c r="K15" s="92"/>
      <c r="L15" s="95"/>
      <c r="M15" s="92"/>
      <c r="N15" s="92"/>
      <c r="O15" s="92"/>
      <c r="P15" s="92"/>
      <c r="Q15" s="92"/>
      <c r="R15" s="92"/>
      <c r="S15" s="92"/>
      <c r="T15" s="92"/>
      <c r="U15" s="8"/>
      <c r="V15" s="8"/>
      <c r="W15" s="46"/>
      <c r="X15" s="41"/>
    </row>
    <row r="16" spans="1:29" ht="31.2" x14ac:dyDescent="0.3">
      <c r="A16" s="21"/>
      <c r="B16" s="8">
        <v>8</v>
      </c>
      <c r="C16" s="9" t="s">
        <v>13</v>
      </c>
      <c r="D16" s="92"/>
      <c r="E16" s="92"/>
      <c r="F16" s="94"/>
      <c r="G16" s="92"/>
      <c r="H16" s="92"/>
      <c r="I16" s="92"/>
      <c r="J16" s="92"/>
      <c r="K16" s="92"/>
      <c r="L16" s="95"/>
      <c r="M16" s="92"/>
      <c r="N16" s="92"/>
      <c r="O16" s="92"/>
      <c r="P16" s="92"/>
      <c r="Q16" s="92"/>
      <c r="R16" s="92"/>
      <c r="S16" s="92"/>
      <c r="T16" s="92"/>
      <c r="U16" s="8"/>
      <c r="V16" s="8"/>
      <c r="W16" s="46"/>
      <c r="X16" s="41"/>
    </row>
    <row r="17" spans="1:29" ht="15.6" x14ac:dyDescent="0.3">
      <c r="A17" s="21"/>
      <c r="B17" s="8">
        <v>9</v>
      </c>
      <c r="C17" s="9" t="s">
        <v>14</v>
      </c>
      <c r="D17" s="92">
        <v>8</v>
      </c>
      <c r="E17" s="92"/>
      <c r="F17" s="94"/>
      <c r="G17" s="92">
        <v>8</v>
      </c>
      <c r="H17" s="92"/>
      <c r="I17" s="92">
        <v>8</v>
      </c>
      <c r="J17" s="92"/>
      <c r="K17" s="92"/>
      <c r="L17" s="95"/>
      <c r="M17" s="92"/>
      <c r="N17" s="92"/>
      <c r="O17" s="92">
        <v>8</v>
      </c>
      <c r="P17" s="92"/>
      <c r="Q17" s="92"/>
      <c r="R17" s="92"/>
      <c r="S17" s="92">
        <v>8</v>
      </c>
      <c r="T17" s="92">
        <v>8</v>
      </c>
      <c r="U17" s="8">
        <v>8</v>
      </c>
      <c r="V17" s="8">
        <v>8</v>
      </c>
      <c r="W17" s="46">
        <f>SUM(D17:V17)</f>
        <v>64</v>
      </c>
      <c r="X17" s="41"/>
    </row>
    <row r="18" spans="1:29" ht="50.25" customHeight="1" x14ac:dyDescent="0.3">
      <c r="A18" s="23"/>
      <c r="B18" s="133" t="s">
        <v>15</v>
      </c>
      <c r="C18" s="134"/>
      <c r="D18" s="100">
        <f t="shared" ref="D18:R18" si="0">SUM(D9:D17)</f>
        <v>148</v>
      </c>
      <c r="E18" s="95">
        <f t="shared" si="0"/>
        <v>72</v>
      </c>
      <c r="F18" s="95">
        <f t="shared" si="0"/>
        <v>42</v>
      </c>
      <c r="G18" s="95">
        <f t="shared" si="0"/>
        <v>110</v>
      </c>
      <c r="H18" s="95">
        <f t="shared" si="0"/>
        <v>91</v>
      </c>
      <c r="I18" s="95">
        <f t="shared" si="0"/>
        <v>171</v>
      </c>
      <c r="J18" s="95">
        <f t="shared" si="0"/>
        <v>36</v>
      </c>
      <c r="K18" s="95">
        <f t="shared" si="0"/>
        <v>72</v>
      </c>
      <c r="L18" s="95">
        <f t="shared" si="0"/>
        <v>72</v>
      </c>
      <c r="M18" s="95">
        <f t="shared" si="0"/>
        <v>63</v>
      </c>
      <c r="N18" s="95">
        <f t="shared" si="0"/>
        <v>72</v>
      </c>
      <c r="O18" s="95">
        <f t="shared" si="0"/>
        <v>49</v>
      </c>
      <c r="P18" s="95">
        <f t="shared" si="0"/>
        <v>21</v>
      </c>
      <c r="Q18" s="95">
        <f t="shared" si="0"/>
        <v>15</v>
      </c>
      <c r="R18" s="95">
        <f t="shared" si="0"/>
        <v>72</v>
      </c>
      <c r="S18" s="95">
        <f>SUM(S13:S17)</f>
        <v>80</v>
      </c>
      <c r="T18" s="95">
        <f>SUM(T13:T17)</f>
        <v>80</v>
      </c>
      <c r="U18" s="95">
        <f>SUM(U13:U17)</f>
        <v>44</v>
      </c>
      <c r="V18" s="95">
        <f>SUM(V13:V17)</f>
        <v>44</v>
      </c>
      <c r="W18" s="45">
        <f>SUM(D18:V18)</f>
        <v>1354</v>
      </c>
      <c r="X18" s="41"/>
    </row>
    <row r="19" spans="1:29" ht="15.6" x14ac:dyDescent="0.3">
      <c r="A19" s="21"/>
      <c r="B19" s="12"/>
      <c r="C19" s="13" t="s">
        <v>16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 ht="15.45" customHeight="1" x14ac:dyDescent="0.3">
      <c r="A20" s="21"/>
      <c r="B20" s="12"/>
      <c r="C20" s="132" t="s">
        <v>17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</row>
    <row r="21" spans="1:29" ht="15.45" customHeight="1" x14ac:dyDescent="0.3">
      <c r="A21" s="21"/>
      <c r="B21" s="12"/>
      <c r="C21" s="103" t="s">
        <v>18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</row>
    <row r="22" spans="1:29" ht="15.45" customHeight="1" x14ac:dyDescent="0.3">
      <c r="A22" s="21"/>
      <c r="B22" s="12"/>
      <c r="C22" s="132" t="s">
        <v>19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</row>
    <row r="23" spans="1:29" ht="15.6" x14ac:dyDescent="0.3">
      <c r="A23" s="21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45" customHeight="1" x14ac:dyDescent="0.3">
      <c r="A24" s="21"/>
      <c r="B24" s="15"/>
      <c r="C24" s="131" t="s">
        <v>21</v>
      </c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</row>
    <row r="25" spans="1:29" ht="15.6" x14ac:dyDescent="0.3">
      <c r="A25" s="1"/>
      <c r="B25" s="1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5.6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5.6" x14ac:dyDescent="0.3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.25" customHeight="1" x14ac:dyDescent="0.3">
      <c r="A30" s="1"/>
      <c r="B30" s="1"/>
      <c r="C30" s="1"/>
      <c r="D30" s="1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</row>
    <row r="31" spans="1:29" ht="15.6" x14ac:dyDescent="0.3">
      <c r="A31" s="1"/>
      <c r="B31" s="1"/>
      <c r="C31" s="1"/>
      <c r="D31" s="1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</row>
    <row r="32" spans="1:29" ht="15.6" x14ac:dyDescent="0.3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4" ht="15.6" x14ac:dyDescent="0.3">
      <c r="A33" s="1"/>
      <c r="B33" s="1"/>
      <c r="C33" s="1"/>
      <c r="D33" s="1"/>
    </row>
    <row r="34" spans="1:4" ht="15.6" x14ac:dyDescent="0.3">
      <c r="A34" s="1"/>
      <c r="B34" s="1"/>
      <c r="C34" s="1"/>
      <c r="D34" s="1"/>
    </row>
    <row r="35" spans="1:4" ht="15.6" x14ac:dyDescent="0.3">
      <c r="A35" s="1"/>
      <c r="B35" s="1"/>
      <c r="C35" s="1"/>
      <c r="D35" s="1"/>
    </row>
    <row r="36" spans="1:4" ht="15.6" x14ac:dyDescent="0.3">
      <c r="A36" s="1"/>
      <c r="B36" s="1"/>
      <c r="C36" s="1"/>
      <c r="D36" s="1"/>
    </row>
    <row r="37" spans="1:4" ht="15.6" x14ac:dyDescent="0.3">
      <c r="A37" s="1"/>
      <c r="B37" s="1"/>
      <c r="C37" s="1"/>
      <c r="D37" s="1"/>
    </row>
    <row r="38" spans="1:4" ht="15.6" x14ac:dyDescent="0.3">
      <c r="A38" s="1"/>
      <c r="B38" s="1"/>
      <c r="C38" s="1"/>
      <c r="D38" s="1"/>
    </row>
    <row r="39" spans="1:4" ht="15.6" x14ac:dyDescent="0.3">
      <c r="A39" s="1"/>
      <c r="B39" s="1"/>
      <c r="C39" s="1"/>
      <c r="D39" s="1"/>
    </row>
    <row r="40" spans="1:4" ht="15.6" x14ac:dyDescent="0.3">
      <c r="A40" s="1"/>
      <c r="B40" s="1"/>
      <c r="C40" s="1"/>
      <c r="D40" s="1"/>
    </row>
    <row r="41" spans="1:4" ht="15.6" x14ac:dyDescent="0.3">
      <c r="A41" s="1"/>
      <c r="B41" s="1"/>
      <c r="C41" s="1"/>
      <c r="D41" s="1"/>
    </row>
    <row r="42" spans="1:4" ht="15.6" x14ac:dyDescent="0.3">
      <c r="A42" s="1"/>
      <c r="B42" s="1"/>
      <c r="C42" s="1"/>
      <c r="D42" s="1"/>
    </row>
    <row r="43" spans="1:4" ht="15.6" x14ac:dyDescent="0.3">
      <c r="A43" s="1"/>
      <c r="B43" s="1"/>
      <c r="C43" s="1"/>
      <c r="D43" s="1"/>
    </row>
    <row r="44" spans="1:4" ht="15.6" x14ac:dyDescent="0.3">
      <c r="A44" s="1"/>
      <c r="B44" s="1"/>
      <c r="C44" s="1"/>
      <c r="D44" s="1"/>
    </row>
    <row r="45" spans="1:4" ht="15.6" x14ac:dyDescent="0.3">
      <c r="A45" s="1"/>
      <c r="B45" s="1"/>
      <c r="C45" s="1"/>
      <c r="D45" s="1"/>
    </row>
    <row r="46" spans="1:4" ht="15.6" x14ac:dyDescent="0.3">
      <c r="A46" s="1"/>
      <c r="B46" s="1"/>
      <c r="C46" s="1"/>
      <c r="D46" s="1"/>
    </row>
    <row r="47" spans="1:4" ht="15.6" x14ac:dyDescent="0.3">
      <c r="A47" s="1"/>
      <c r="B47" s="1"/>
      <c r="C47" s="1"/>
      <c r="D47" s="1"/>
    </row>
    <row r="48" spans="1:4" ht="15.6" x14ac:dyDescent="0.3">
      <c r="A48" s="1"/>
      <c r="B48" s="1"/>
      <c r="C48" s="1"/>
      <c r="D48" s="1"/>
    </row>
    <row r="49" spans="1:29" ht="15.6" x14ac:dyDescent="0.3">
      <c r="A49" s="1"/>
      <c r="B49" s="1"/>
      <c r="C49" s="1"/>
      <c r="D49" s="1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spans="1:29" ht="15.6" x14ac:dyDescent="0.3">
      <c r="A50" s="1"/>
      <c r="B50" s="1"/>
      <c r="C50" s="1"/>
      <c r="D50" s="1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</row>
    <row r="51" spans="1:29" ht="15.6" x14ac:dyDescent="0.3">
      <c r="A51" s="1"/>
      <c r="B51" s="1"/>
      <c r="C51" s="1"/>
      <c r="D51" s="1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</row>
    <row r="52" spans="1:29" ht="15.6" x14ac:dyDescent="0.3">
      <c r="A52" s="1"/>
      <c r="B52" s="1"/>
      <c r="C52" s="1"/>
      <c r="D52" s="1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</row>
    <row r="53" spans="1:29" ht="15.6" x14ac:dyDescent="0.3">
      <c r="A53" s="1"/>
      <c r="B53" s="1"/>
      <c r="C53" s="1"/>
      <c r="D53" s="1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spans="1:29" ht="15.6" x14ac:dyDescent="0.3">
      <c r="A54" s="1"/>
      <c r="B54" s="1"/>
      <c r="C54" s="1"/>
      <c r="D54" s="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</row>
    <row r="55" spans="1:29" ht="15.6" x14ac:dyDescent="0.3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5.6" x14ac:dyDescent="0.3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5.6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5.6" x14ac:dyDescent="0.3"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</sheetData>
  <mergeCells count="22">
    <mergeCell ref="B2:AC2"/>
    <mergeCell ref="B3:AC3"/>
    <mergeCell ref="B5:B8"/>
    <mergeCell ref="H8:I8"/>
    <mergeCell ref="H5:I5"/>
    <mergeCell ref="J8:K8"/>
    <mergeCell ref="J5:K5"/>
    <mergeCell ref="N5:O5"/>
    <mergeCell ref="N8:O8"/>
    <mergeCell ref="C20:AC20"/>
    <mergeCell ref="E51:AC51"/>
    <mergeCell ref="C21:AC21"/>
    <mergeCell ref="C22:AC22"/>
    <mergeCell ref="P5:Q5"/>
    <mergeCell ref="P8:Q8"/>
    <mergeCell ref="B18:C18"/>
    <mergeCell ref="E52:AC52"/>
    <mergeCell ref="E54:AC54"/>
    <mergeCell ref="C24:AC24"/>
    <mergeCell ref="E30:AC30"/>
    <mergeCell ref="E31:AC31"/>
    <mergeCell ref="E50:AC50"/>
  </mergeCells>
  <phoneticPr fontId="6" type="noConversion"/>
  <pageMargins left="0.25" right="0.25" top="0.75" bottom="0.75" header="0.3" footer="0.3"/>
  <pageSetup paperSize="9" scale="4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90" zoomScaleNormal="90" workbookViewId="0">
      <selection activeCell="D4" sqref="D4:D17"/>
    </sheetView>
  </sheetViews>
  <sheetFormatPr defaultRowHeight="14.4" x14ac:dyDescent="0.3"/>
  <cols>
    <col min="1" max="1" width="2.6640625" customWidth="1"/>
    <col min="2" max="2" width="22.33203125" customWidth="1"/>
    <col min="3" max="3" width="14.44140625" customWidth="1"/>
    <col min="4" max="4" width="11.109375" customWidth="1"/>
  </cols>
  <sheetData>
    <row r="1" spans="1:7" ht="15.6" x14ac:dyDescent="0.3">
      <c r="A1" s="105" t="s">
        <v>58</v>
      </c>
      <c r="B1" s="105"/>
      <c r="C1" s="105"/>
      <c r="D1" s="105"/>
      <c r="E1" s="105"/>
      <c r="F1" s="105"/>
      <c r="G1" s="105"/>
    </row>
    <row r="2" spans="1:7" ht="15.6" x14ac:dyDescent="0.3">
      <c r="A2" s="106" t="s">
        <v>53</v>
      </c>
      <c r="B2" s="106"/>
      <c r="C2" s="106"/>
      <c r="D2" s="106"/>
      <c r="E2" s="106"/>
      <c r="F2" s="106"/>
      <c r="G2" s="106"/>
    </row>
    <row r="3" spans="1:7" ht="15.6" x14ac:dyDescent="0.3">
      <c r="A3" s="3"/>
      <c r="B3" s="3"/>
      <c r="C3" s="3"/>
      <c r="D3" s="3"/>
      <c r="E3" s="3"/>
      <c r="F3" s="33"/>
      <c r="G3" s="33"/>
    </row>
    <row r="4" spans="1:7" ht="28.5" customHeight="1" x14ac:dyDescent="0.3">
      <c r="A4" s="107" t="s">
        <v>0</v>
      </c>
      <c r="B4" s="5" t="s">
        <v>1</v>
      </c>
      <c r="C4" s="49" t="s">
        <v>68</v>
      </c>
      <c r="D4" s="82" t="s">
        <v>102</v>
      </c>
      <c r="E4" s="6" t="s">
        <v>2</v>
      </c>
      <c r="F4" s="33"/>
      <c r="G4" s="33"/>
    </row>
    <row r="5" spans="1:7" ht="15.6" x14ac:dyDescent="0.3">
      <c r="A5" s="107"/>
      <c r="B5" s="5" t="s">
        <v>3</v>
      </c>
      <c r="C5" s="50">
        <v>4</v>
      </c>
      <c r="D5" s="83">
        <v>3</v>
      </c>
      <c r="E5" s="7"/>
      <c r="F5" s="33"/>
      <c r="G5" s="33"/>
    </row>
    <row r="6" spans="1:7" ht="15.6" x14ac:dyDescent="0.3">
      <c r="A6" s="107"/>
      <c r="B6" s="5" t="s">
        <v>4</v>
      </c>
      <c r="C6" s="50">
        <v>24</v>
      </c>
      <c r="D6" s="83"/>
      <c r="E6" s="7"/>
      <c r="F6" s="33"/>
      <c r="G6" s="33"/>
    </row>
    <row r="7" spans="1:7" ht="31.2" customHeight="1" x14ac:dyDescent="0.3">
      <c r="A7" s="107"/>
      <c r="B7" s="5" t="s">
        <v>5</v>
      </c>
      <c r="C7" s="50" t="s">
        <v>69</v>
      </c>
      <c r="D7" s="84" t="s">
        <v>101</v>
      </c>
      <c r="E7" s="7"/>
      <c r="F7" s="33"/>
      <c r="G7" s="33"/>
    </row>
    <row r="8" spans="1:7" s="34" customFormat="1" ht="15.6" x14ac:dyDescent="0.3">
      <c r="A8" s="8">
        <v>1</v>
      </c>
      <c r="B8" s="9" t="s">
        <v>6</v>
      </c>
      <c r="C8" s="50">
        <v>62</v>
      </c>
      <c r="D8" s="83">
        <v>64</v>
      </c>
      <c r="E8" s="6"/>
      <c r="F8" s="33"/>
      <c r="G8" s="33"/>
    </row>
    <row r="9" spans="1:7" ht="31.2" x14ac:dyDescent="0.3">
      <c r="A9" s="8">
        <v>2</v>
      </c>
      <c r="B9" s="9" t="s">
        <v>7</v>
      </c>
      <c r="C9" s="50"/>
      <c r="D9" s="83"/>
      <c r="E9" s="6"/>
      <c r="F9" s="33"/>
      <c r="G9" s="33"/>
    </row>
    <row r="10" spans="1:7" ht="15.6" x14ac:dyDescent="0.3">
      <c r="A10" s="8">
        <v>3</v>
      </c>
      <c r="B10" s="9" t="s">
        <v>8</v>
      </c>
      <c r="C10" s="50"/>
      <c r="D10" s="83"/>
      <c r="E10" s="6"/>
      <c r="F10" s="33"/>
      <c r="G10" s="33"/>
    </row>
    <row r="11" spans="1:7" ht="15.6" x14ac:dyDescent="0.3">
      <c r="A11" s="8">
        <v>4</v>
      </c>
      <c r="B11" s="9" t="s">
        <v>9</v>
      </c>
      <c r="C11" s="50"/>
      <c r="D11" s="83"/>
      <c r="E11" s="6"/>
      <c r="F11" s="33"/>
      <c r="G11" s="33"/>
    </row>
    <row r="12" spans="1:7" ht="15.6" x14ac:dyDescent="0.3">
      <c r="A12" s="8">
        <v>5</v>
      </c>
      <c r="B12" s="9" t="s">
        <v>10</v>
      </c>
      <c r="C12" s="50"/>
      <c r="D12" s="83"/>
      <c r="E12" s="6"/>
      <c r="F12" s="33"/>
      <c r="G12" s="33"/>
    </row>
    <row r="13" spans="1:7" ht="31.2" x14ac:dyDescent="0.3">
      <c r="A13" s="8">
        <v>6</v>
      </c>
      <c r="B13" s="9" t="s">
        <v>11</v>
      </c>
      <c r="C13" s="50"/>
      <c r="D13" s="83"/>
      <c r="E13" s="6"/>
      <c r="F13" s="33"/>
      <c r="G13" s="33"/>
    </row>
    <row r="14" spans="1:7" ht="31.2" x14ac:dyDescent="0.3">
      <c r="A14" s="8">
        <v>7</v>
      </c>
      <c r="B14" s="9" t="s">
        <v>12</v>
      </c>
      <c r="C14" s="50"/>
      <c r="D14" s="83"/>
      <c r="E14" s="6"/>
      <c r="F14" s="33"/>
      <c r="G14" s="33"/>
    </row>
    <row r="15" spans="1:7" ht="15.6" x14ac:dyDescent="0.3">
      <c r="A15" s="8">
        <v>8</v>
      </c>
      <c r="B15" s="9" t="s">
        <v>13</v>
      </c>
      <c r="C15" s="50"/>
      <c r="D15" s="83"/>
      <c r="E15" s="6"/>
      <c r="F15" s="33"/>
      <c r="G15" s="33"/>
    </row>
    <row r="16" spans="1:7" ht="15.6" x14ac:dyDescent="0.3">
      <c r="A16" s="8">
        <v>9</v>
      </c>
      <c r="B16" s="9" t="s">
        <v>14</v>
      </c>
      <c r="C16" s="50"/>
      <c r="D16" s="83"/>
      <c r="E16" s="6"/>
      <c r="F16" s="33"/>
      <c r="G16" s="33"/>
    </row>
    <row r="17" spans="1:11" ht="15.6" x14ac:dyDescent="0.3">
      <c r="A17" s="138" t="s">
        <v>15</v>
      </c>
      <c r="B17" s="138"/>
      <c r="C17" s="51">
        <f>SUM(C8:C16)</f>
        <v>62</v>
      </c>
      <c r="D17" s="81">
        <f>SUM(D8:D16)</f>
        <v>64</v>
      </c>
      <c r="E17" s="11">
        <f>SUM(C17:D17)</f>
        <v>126</v>
      </c>
      <c r="F17" s="33"/>
      <c r="G17" s="33"/>
    </row>
    <row r="18" spans="1:11" ht="15.6" x14ac:dyDescent="0.3">
      <c r="A18" s="12"/>
      <c r="B18" s="13" t="s">
        <v>16</v>
      </c>
      <c r="C18" s="13"/>
      <c r="D18" s="13"/>
      <c r="E18" s="13"/>
      <c r="F18" s="13"/>
      <c r="G18" s="13"/>
    </row>
    <row r="19" spans="1:11" ht="15.75" customHeight="1" x14ac:dyDescent="0.3">
      <c r="A19" s="12"/>
      <c r="B19" s="139" t="s">
        <v>17</v>
      </c>
      <c r="C19" s="139"/>
      <c r="D19" s="139"/>
      <c r="E19" s="139"/>
      <c r="F19" s="139"/>
      <c r="G19" s="139"/>
      <c r="H19" s="139"/>
      <c r="I19" s="139"/>
      <c r="J19" s="139"/>
      <c r="K19" s="139"/>
    </row>
    <row r="20" spans="1:11" ht="15.75" customHeight="1" x14ac:dyDescent="0.3">
      <c r="A20" s="12"/>
      <c r="B20" s="103" t="s">
        <v>18</v>
      </c>
      <c r="C20" s="103"/>
      <c r="D20" s="103"/>
      <c r="E20" s="103"/>
      <c r="F20" s="103"/>
      <c r="G20" s="103"/>
      <c r="H20" s="103"/>
      <c r="I20" s="103"/>
      <c r="J20" s="103"/>
      <c r="K20" s="103"/>
    </row>
    <row r="21" spans="1:11" ht="15.75" customHeight="1" x14ac:dyDescent="0.3">
      <c r="A21" s="12"/>
      <c r="B21" s="103" t="s">
        <v>19</v>
      </c>
      <c r="C21" s="103"/>
      <c r="D21" s="103"/>
      <c r="E21" s="103"/>
      <c r="F21" s="103"/>
      <c r="G21" s="103"/>
      <c r="H21" s="103"/>
      <c r="I21" s="103"/>
      <c r="J21" s="103"/>
      <c r="K21" s="103"/>
    </row>
    <row r="22" spans="1:11" ht="15.6" x14ac:dyDescent="0.3">
      <c r="A22" s="12"/>
      <c r="B22" s="13"/>
      <c r="C22" s="13"/>
      <c r="D22" s="13"/>
      <c r="E22" s="13"/>
      <c r="F22" s="13"/>
      <c r="G22" s="13"/>
    </row>
    <row r="23" spans="1:11" ht="15.6" x14ac:dyDescent="0.3">
      <c r="A23" s="15"/>
      <c r="B23" s="131" t="s">
        <v>21</v>
      </c>
      <c r="C23" s="131"/>
      <c r="D23" s="131"/>
      <c r="E23" s="131"/>
      <c r="F23" s="131"/>
      <c r="G23" s="131"/>
    </row>
  </sheetData>
  <mergeCells count="8">
    <mergeCell ref="B21:K21"/>
    <mergeCell ref="B23:G23"/>
    <mergeCell ref="A1:G1"/>
    <mergeCell ref="A2:G2"/>
    <mergeCell ref="A4:A7"/>
    <mergeCell ref="A17:B17"/>
    <mergeCell ref="B19:K19"/>
    <mergeCell ref="B20:K20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90" zoomScaleNormal="90" workbookViewId="0">
      <selection activeCell="D12" sqref="D12"/>
    </sheetView>
  </sheetViews>
  <sheetFormatPr defaultRowHeight="14.4" x14ac:dyDescent="0.3"/>
  <cols>
    <col min="1" max="1" width="2.6640625" customWidth="1"/>
    <col min="2" max="2" width="18.44140625" customWidth="1"/>
    <col min="3" max="3" width="8.44140625" customWidth="1"/>
    <col min="4" max="4" width="14.44140625" customWidth="1"/>
    <col min="5" max="5" width="8.5546875" customWidth="1"/>
  </cols>
  <sheetData>
    <row r="1" spans="1:13" ht="15.6" x14ac:dyDescent="0.3">
      <c r="A1" s="105" t="s">
        <v>73</v>
      </c>
      <c r="B1" s="105"/>
      <c r="C1" s="105"/>
      <c r="D1" s="105"/>
      <c r="E1" s="105"/>
      <c r="F1" s="105"/>
      <c r="G1" s="105"/>
      <c r="H1" s="105"/>
    </row>
    <row r="2" spans="1:13" ht="15.75" customHeight="1" x14ac:dyDescent="0.3">
      <c r="A2" s="106" t="s">
        <v>53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ht="15.6" x14ac:dyDescent="0.3">
      <c r="A3" s="3"/>
      <c r="B3" s="3"/>
      <c r="C3" s="3"/>
      <c r="D3" s="3"/>
      <c r="E3" s="3"/>
      <c r="F3" s="3"/>
      <c r="G3" s="33"/>
      <c r="H3" s="33"/>
    </row>
    <row r="4" spans="1:13" ht="28.5" customHeight="1" x14ac:dyDescent="0.3">
      <c r="A4" s="107" t="s">
        <v>0</v>
      </c>
      <c r="B4" s="5" t="s">
        <v>1</v>
      </c>
      <c r="C4" s="140" t="s">
        <v>71</v>
      </c>
      <c r="D4" s="141"/>
      <c r="E4" s="43"/>
      <c r="F4" s="6" t="s">
        <v>2</v>
      </c>
      <c r="G4" s="33"/>
      <c r="H4" s="33"/>
    </row>
    <row r="5" spans="1:13" ht="15.6" x14ac:dyDescent="0.3">
      <c r="A5" s="107"/>
      <c r="B5" s="5" t="s">
        <v>3</v>
      </c>
      <c r="C5" s="31">
        <v>4</v>
      </c>
      <c r="D5" s="50">
        <v>4</v>
      </c>
      <c r="E5" s="31"/>
      <c r="F5" s="7"/>
      <c r="G5" s="33"/>
      <c r="H5" s="33"/>
    </row>
    <row r="6" spans="1:13" ht="15.6" x14ac:dyDescent="0.3">
      <c r="A6" s="107"/>
      <c r="B6" s="5" t="s">
        <v>4</v>
      </c>
      <c r="C6" s="31"/>
      <c r="D6" s="50"/>
      <c r="E6" s="31"/>
      <c r="F6" s="7"/>
      <c r="G6" s="33"/>
      <c r="H6" s="33"/>
    </row>
    <row r="7" spans="1:13" ht="31.2" customHeight="1" x14ac:dyDescent="0.3">
      <c r="A7" s="107"/>
      <c r="B7" s="5" t="s">
        <v>5</v>
      </c>
      <c r="C7" s="47" t="s">
        <v>74</v>
      </c>
      <c r="D7" s="50" t="s">
        <v>75</v>
      </c>
      <c r="E7" s="47"/>
      <c r="F7" s="7"/>
      <c r="G7" s="33"/>
      <c r="H7" s="33"/>
    </row>
    <row r="8" spans="1:13" s="34" customFormat="1" ht="31.2" x14ac:dyDescent="0.3">
      <c r="A8" s="8">
        <v>1</v>
      </c>
      <c r="B8" s="9" t="s">
        <v>6</v>
      </c>
      <c r="C8" s="31">
        <v>64</v>
      </c>
      <c r="D8" s="50"/>
      <c r="E8" s="31"/>
      <c r="F8" s="6"/>
      <c r="G8" s="33"/>
      <c r="H8" s="33"/>
    </row>
    <row r="9" spans="1:13" ht="46.8" x14ac:dyDescent="0.3">
      <c r="A9" s="8">
        <v>2</v>
      </c>
      <c r="B9" s="9" t="s">
        <v>7</v>
      </c>
      <c r="C9" s="31"/>
      <c r="D9" s="50">
        <v>36</v>
      </c>
      <c r="E9" s="31"/>
      <c r="F9" s="6"/>
      <c r="G9" s="33"/>
      <c r="H9" s="33"/>
    </row>
    <row r="10" spans="1:13" ht="15.6" x14ac:dyDescent="0.3">
      <c r="A10" s="8">
        <v>3</v>
      </c>
      <c r="B10" s="9" t="s">
        <v>8</v>
      </c>
      <c r="C10" s="31">
        <v>4</v>
      </c>
      <c r="D10" s="50"/>
      <c r="E10" s="31"/>
      <c r="F10" s="6"/>
      <c r="G10" s="33"/>
      <c r="H10" s="33"/>
    </row>
    <row r="11" spans="1:13" ht="15.6" x14ac:dyDescent="0.3">
      <c r="A11" s="8">
        <v>4</v>
      </c>
      <c r="B11" s="9" t="s">
        <v>9</v>
      </c>
      <c r="C11" s="31"/>
      <c r="D11" s="50"/>
      <c r="E11" s="31"/>
      <c r="F11" s="6"/>
      <c r="G11" s="33"/>
      <c r="H11" s="33"/>
    </row>
    <row r="12" spans="1:13" ht="15.6" x14ac:dyDescent="0.3">
      <c r="A12" s="8">
        <v>5</v>
      </c>
      <c r="B12" s="9" t="s">
        <v>10</v>
      </c>
      <c r="C12" s="31"/>
      <c r="D12" s="50">
        <v>36</v>
      </c>
      <c r="E12" s="31"/>
      <c r="F12" s="6"/>
      <c r="G12" s="33"/>
      <c r="H12" s="33"/>
    </row>
    <row r="13" spans="1:13" ht="31.2" x14ac:dyDescent="0.3">
      <c r="A13" s="8">
        <v>6</v>
      </c>
      <c r="B13" s="9" t="s">
        <v>11</v>
      </c>
      <c r="C13" s="31"/>
      <c r="D13" s="50"/>
      <c r="E13" s="31"/>
      <c r="F13" s="6"/>
      <c r="G13" s="33"/>
      <c r="H13" s="33"/>
    </row>
    <row r="14" spans="1:13" ht="31.2" x14ac:dyDescent="0.3">
      <c r="A14" s="8">
        <v>7</v>
      </c>
      <c r="B14" s="9" t="s">
        <v>12</v>
      </c>
      <c r="C14" s="31"/>
      <c r="D14" s="50"/>
      <c r="E14" s="31"/>
      <c r="F14" s="6"/>
      <c r="G14" s="33"/>
      <c r="H14" s="33"/>
    </row>
    <row r="15" spans="1:13" ht="31.2" x14ac:dyDescent="0.3">
      <c r="A15" s="8">
        <v>8</v>
      </c>
      <c r="B15" s="9" t="s">
        <v>13</v>
      </c>
      <c r="C15" s="31"/>
      <c r="D15" s="50"/>
      <c r="E15" s="31"/>
      <c r="F15" s="6"/>
      <c r="G15" s="33"/>
      <c r="H15" s="33"/>
    </row>
    <row r="16" spans="1:13" ht="15.6" x14ac:dyDescent="0.3">
      <c r="A16" s="8">
        <v>9</v>
      </c>
      <c r="B16" s="9" t="s">
        <v>14</v>
      </c>
      <c r="C16" s="31">
        <v>8</v>
      </c>
      <c r="D16" s="50"/>
      <c r="E16" s="31"/>
      <c r="F16" s="6"/>
      <c r="G16" s="33"/>
      <c r="H16" s="33"/>
    </row>
    <row r="17" spans="1:13" ht="15.6" x14ac:dyDescent="0.3">
      <c r="A17" s="138" t="s">
        <v>15</v>
      </c>
      <c r="B17" s="138"/>
      <c r="C17" s="48">
        <f>SUM(C8:C16)</f>
        <v>76</v>
      </c>
      <c r="D17" s="51">
        <f>SUM(D8:D16)</f>
        <v>72</v>
      </c>
      <c r="E17" s="48"/>
      <c r="F17" s="11">
        <f>SUM(C17:E17)</f>
        <v>148</v>
      </c>
      <c r="G17" s="33"/>
      <c r="H17" s="33"/>
    </row>
    <row r="18" spans="1:13" ht="15.6" x14ac:dyDescent="0.3">
      <c r="A18" s="12"/>
      <c r="B18" s="13" t="s">
        <v>16</v>
      </c>
      <c r="C18" s="13"/>
      <c r="D18" s="13"/>
      <c r="E18" s="13"/>
      <c r="F18" s="13"/>
      <c r="G18" s="13"/>
      <c r="H18" s="13"/>
    </row>
    <row r="19" spans="1:13" ht="15.75" customHeight="1" x14ac:dyDescent="0.3">
      <c r="A19" s="12"/>
      <c r="B19" s="139" t="s">
        <v>17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</row>
    <row r="20" spans="1:13" ht="15.75" customHeight="1" x14ac:dyDescent="0.3">
      <c r="A20" s="12"/>
      <c r="B20" s="103" t="s">
        <v>18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</row>
    <row r="21" spans="1:13" ht="15.75" customHeight="1" x14ac:dyDescent="0.3">
      <c r="A21" s="12"/>
      <c r="B21" s="103" t="s">
        <v>19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3" ht="15.6" x14ac:dyDescent="0.3">
      <c r="A22" s="12"/>
      <c r="B22" s="13"/>
      <c r="C22" s="13"/>
      <c r="D22" s="13"/>
      <c r="E22" s="13"/>
      <c r="F22" s="13"/>
      <c r="G22" s="13"/>
      <c r="H22" s="13"/>
    </row>
    <row r="23" spans="1:13" ht="15.6" x14ac:dyDescent="0.3">
      <c r="A23" s="15"/>
      <c r="B23" s="131" t="s">
        <v>21</v>
      </c>
      <c r="C23" s="131"/>
      <c r="D23" s="131"/>
      <c r="E23" s="131"/>
      <c r="F23" s="131"/>
      <c r="G23" s="131"/>
      <c r="H23" s="131"/>
    </row>
  </sheetData>
  <mergeCells count="9">
    <mergeCell ref="B21:L21"/>
    <mergeCell ref="B23:H23"/>
    <mergeCell ref="C4:D4"/>
    <mergeCell ref="A1:H1"/>
    <mergeCell ref="A4:A7"/>
    <mergeCell ref="A17:B17"/>
    <mergeCell ref="A2:M2"/>
    <mergeCell ref="B20:M20"/>
    <mergeCell ref="B19:L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Бардаков</vt:lpstr>
      <vt:lpstr>Чернявская</vt:lpstr>
      <vt:lpstr>Бедрик Д.А</vt:lpstr>
      <vt:lpstr>Ткаченко</vt:lpstr>
      <vt:lpstr>Озеров</vt:lpstr>
      <vt:lpstr>Жолобова</vt:lpstr>
      <vt:lpstr>Козликина Е.Н.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Любаня</dc:creator>
  <cp:lastModifiedBy>Пользователь Windows</cp:lastModifiedBy>
  <cp:lastPrinted>2026-08-28T08:08:15Z</cp:lastPrinted>
  <dcterms:created xsi:type="dcterms:W3CDTF">2020-06-29T06:16:01Z</dcterms:created>
  <dcterms:modified xsi:type="dcterms:W3CDTF">2026-08-31T07:58:58Z</dcterms:modified>
</cp:coreProperties>
</file>